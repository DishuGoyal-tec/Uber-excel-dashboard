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4.xml" ContentType="application/vnd.openxmlformats-officedocument.drawing+xml"/>
  <Override PartName="/xl/slicers/slicer2.xml" ContentType="application/vnd.ms-excel.slicer+xml"/>
  <Override PartName="/xl/pivotTables/pivotTable17.xml" ContentType="application/vnd.openxmlformats-officedocument.spreadsheetml.pivotTable+xml"/>
  <Override PartName="/xl/drawings/drawing1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AD010F5C-C956-4FE3-8FDC-B40A02179EE7}" xr6:coauthVersionLast="47" xr6:coauthVersionMax="47" xr10:uidLastSave="{00000000-0000-0000-0000-000000000000}"/>
  <bookViews>
    <workbookView xWindow="-108" yWindow="-108" windowWidth="23256" windowHeight="13896" tabRatio="1000" activeTab="1" xr2:uid="{00000000-000D-0000-FFFF-FFFF00000000}"/>
  </bookViews>
  <sheets>
    <sheet name="Vehicle Analysis" sheetId="15" r:id="rId1"/>
    <sheet name="Dashboard Final" sheetId="16" r:id="rId2"/>
    <sheet name="Data" sheetId="1" r:id="rId3"/>
    <sheet name="total booking" sheetId="8" r:id="rId4"/>
    <sheet name="Payment Type Analysis" sheetId="12" r:id="rId5"/>
    <sheet name="Shift Analysis" sheetId="7" r:id="rId6"/>
    <sheet name="total trip by months" sheetId="13" r:id="rId7"/>
    <sheet name="top 5 pickup" sheetId="11" r:id="rId8"/>
    <sheet name="Avg Booking price" sheetId="2" r:id="rId9"/>
    <sheet name="Total Trip Distance" sheetId="3" r:id="rId10"/>
    <sheet name="avg trip time" sheetId="6" r:id="rId11"/>
    <sheet name="Average Trip Dist." sheetId="5" r:id="rId12"/>
    <sheet name="total booking value" sheetId="9" r:id="rId13"/>
    <sheet name="top 5 city slicer ka" sheetId="10" r:id="rId14"/>
    <sheet name="total trip by time bin" sheetId="14" r:id="rId15"/>
  </sheets>
  <definedNames>
    <definedName name="Slicer_City">#N/A</definedName>
  </definedNames>
  <calcPr calcId="191028"/>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9" l="1"/>
  <c r="D7" i="5"/>
  <c r="D5" i="3"/>
  <c r="E15" i="8"/>
  <c r="D8" i="7"/>
  <c r="C6" i="6"/>
  <c r="F9" i="8"/>
  <c r="B5" i="2"/>
  <c r="D9" i="7"/>
</calcChain>
</file>

<file path=xl/sharedStrings.xml><?xml version="1.0" encoding="utf-8"?>
<sst xmlns="http://schemas.openxmlformats.org/spreadsheetml/2006/main" count="12104" uniqueCount="2190">
  <si>
    <t>Row Labels</t>
  </si>
  <si>
    <t>Count of Trip_ID</t>
  </si>
  <si>
    <t>Uber Auto</t>
  </si>
  <si>
    <t>Uber Black</t>
  </si>
  <si>
    <t>Uber Comfort</t>
  </si>
  <si>
    <t>Uber Green</t>
  </si>
  <si>
    <t>UberX</t>
  </si>
  <si>
    <t>UberXL</t>
  </si>
  <si>
    <t>Grand Total</t>
  </si>
  <si>
    <t>Sum of Distance_km</t>
  </si>
  <si>
    <t>Sum of Fare_Amount_INR</t>
  </si>
  <si>
    <t>Average of Fare_Amount_INR</t>
  </si>
  <si>
    <t>Trip_ID</t>
  </si>
  <si>
    <t>Date</t>
  </si>
  <si>
    <t>Time</t>
  </si>
  <si>
    <t>City</t>
  </si>
  <si>
    <t>Pickup_Area</t>
  </si>
  <si>
    <t>Drop_Area</t>
  </si>
  <si>
    <t>Vehicle_Type</t>
  </si>
  <si>
    <t>Distance_km</t>
  </si>
  <si>
    <t>Trip_Duration_min</t>
  </si>
  <si>
    <t>Fare_Amount_INR</t>
  </si>
  <si>
    <t>Payment_Method</t>
  </si>
  <si>
    <t>Time_Bin</t>
  </si>
  <si>
    <t>Shift</t>
  </si>
  <si>
    <t>Driver_Rating</t>
  </si>
  <si>
    <t>Passenger_Rating</t>
  </si>
  <si>
    <t>UIN25000001</t>
  </si>
  <si>
    <t>2025-06-22</t>
  </si>
  <si>
    <t>21:15</t>
  </si>
  <si>
    <t>Bangalore</t>
  </si>
  <si>
    <t>MG Road</t>
  </si>
  <si>
    <t>Whitefield</t>
  </si>
  <si>
    <t>UPI</t>
  </si>
  <si>
    <t>21:00-23:59</t>
  </si>
  <si>
    <t>Night</t>
  </si>
  <si>
    <t>UIN25000002</t>
  </si>
  <si>
    <t>2025-05-31</t>
  </si>
  <si>
    <t>10:43</t>
  </si>
  <si>
    <t>Mumbai</t>
  </si>
  <si>
    <t>Powai</t>
  </si>
  <si>
    <t>Bandra</t>
  </si>
  <si>
    <t>Cash</t>
  </si>
  <si>
    <t>09:00-11:59</t>
  </si>
  <si>
    <t>Day</t>
  </si>
  <si>
    <t>UIN25000003</t>
  </si>
  <si>
    <t>2025-07-11</t>
  </si>
  <si>
    <t>14:02</t>
  </si>
  <si>
    <t>BKC</t>
  </si>
  <si>
    <t>12:00-14:59</t>
  </si>
  <si>
    <t>UIN25000004</t>
  </si>
  <si>
    <t>2025-06-14</t>
  </si>
  <si>
    <t>03:14</t>
  </si>
  <si>
    <t>Hyderabad</t>
  </si>
  <si>
    <t>Gachibowli</t>
  </si>
  <si>
    <t>Hitech City</t>
  </si>
  <si>
    <t>Paytm</t>
  </si>
  <si>
    <t>03:00-05:59</t>
  </si>
  <si>
    <t>UIN25000005</t>
  </si>
  <si>
    <t>2025-06-12</t>
  </si>
  <si>
    <t>08:45</t>
  </si>
  <si>
    <t>Delhi</t>
  </si>
  <si>
    <t>Connaught Place</t>
  </si>
  <si>
    <t>Gurgaon Cyber City</t>
  </si>
  <si>
    <t>06:00-08:59</t>
  </si>
  <si>
    <t>UIN25000006</t>
  </si>
  <si>
    <t>2025-07-14</t>
  </si>
  <si>
    <t>18:37</t>
  </si>
  <si>
    <t>Ahmedabad</t>
  </si>
  <si>
    <t>Thaltej</t>
  </si>
  <si>
    <t>Navrangpura</t>
  </si>
  <si>
    <t>18:00-20:59</t>
  </si>
  <si>
    <t>UIN25000007</t>
  </si>
  <si>
    <t>2025-05-18</t>
  </si>
  <si>
    <t>16:48</t>
  </si>
  <si>
    <t>Kolkata</t>
  </si>
  <si>
    <t>New Town</t>
  </si>
  <si>
    <t>Jadavpur</t>
  </si>
  <si>
    <t>15:00-17:59</t>
  </si>
  <si>
    <t>UIN25000008</t>
  </si>
  <si>
    <t>18:21</t>
  </si>
  <si>
    <t>Pune</t>
  </si>
  <si>
    <t>Kothrud</t>
  </si>
  <si>
    <t>Wakad</t>
  </si>
  <si>
    <t>UIN25000009</t>
  </si>
  <si>
    <t>18:48</t>
  </si>
  <si>
    <t>Secunderabad</t>
  </si>
  <si>
    <t>UIN25000010</t>
  </si>
  <si>
    <t>2025-05-29</t>
  </si>
  <si>
    <t>18:24</t>
  </si>
  <si>
    <t>Pune Station</t>
  </si>
  <si>
    <t>Hinjewadi</t>
  </si>
  <si>
    <t>UIN25000011</t>
  </si>
  <si>
    <t>2025-07-01</t>
  </si>
  <si>
    <t>10:38</t>
  </si>
  <si>
    <t>Saket</t>
  </si>
  <si>
    <t>Noida Sector 18</t>
  </si>
  <si>
    <t>UIN25000012</t>
  </si>
  <si>
    <t>2025-05-23</t>
  </si>
  <si>
    <t>20:46</t>
  </si>
  <si>
    <t>Koramangala</t>
  </si>
  <si>
    <t>Hebbal</t>
  </si>
  <si>
    <t>Card</t>
  </si>
  <si>
    <t>UIN25000013</t>
  </si>
  <si>
    <t>2025-06-02</t>
  </si>
  <si>
    <t>14:59</t>
  </si>
  <si>
    <t>Jaipur</t>
  </si>
  <si>
    <t>Jagatpura</t>
  </si>
  <si>
    <t>Raja Park</t>
  </si>
  <si>
    <t>UIN25000014</t>
  </si>
  <si>
    <t>2025-07-27</t>
  </si>
  <si>
    <t>21:18</t>
  </si>
  <si>
    <t>Yeshwanthpur</t>
  </si>
  <si>
    <t>UIN25000015</t>
  </si>
  <si>
    <t>2025-06-11</t>
  </si>
  <si>
    <t>20:45</t>
  </si>
  <si>
    <t>IGI Airport</t>
  </si>
  <si>
    <t>UIN25000016</t>
  </si>
  <si>
    <t>2025-08-10</t>
  </si>
  <si>
    <t>15:14</t>
  </si>
  <si>
    <t>SG Highway</t>
  </si>
  <si>
    <t>UIN25000017</t>
  </si>
  <si>
    <t>2025-06-16</t>
  </si>
  <si>
    <t>18:55</t>
  </si>
  <si>
    <t>UIN25000018</t>
  </si>
  <si>
    <t>18:29</t>
  </si>
  <si>
    <t>C-Scheme</t>
  </si>
  <si>
    <t>UIN25000019</t>
  </si>
  <si>
    <t>2025-07-04</t>
  </si>
  <si>
    <t>21:22</t>
  </si>
  <si>
    <t>Sabarmati</t>
  </si>
  <si>
    <t>UIN25000020</t>
  </si>
  <si>
    <t>2025-06-21</t>
  </si>
  <si>
    <t>21:44</t>
  </si>
  <si>
    <t>Viman Nagar</t>
  </si>
  <si>
    <t>UIN25000021</t>
  </si>
  <si>
    <t>2025-08-07</t>
  </si>
  <si>
    <t>09:10</t>
  </si>
  <si>
    <t>HSR Layout</t>
  </si>
  <si>
    <t>UIN25000022</t>
  </si>
  <si>
    <t>2025-07-16</t>
  </si>
  <si>
    <t>11:24</t>
  </si>
  <si>
    <t>Indiranagar</t>
  </si>
  <si>
    <t>UIN25000023</t>
  </si>
  <si>
    <t>2025-08-14</t>
  </si>
  <si>
    <t>10:35</t>
  </si>
  <si>
    <t>Garia</t>
  </si>
  <si>
    <t>UIN25000024</t>
  </si>
  <si>
    <t>2025-06-28</t>
  </si>
  <si>
    <t>14:53</t>
  </si>
  <si>
    <t>Bopal</t>
  </si>
  <si>
    <t>UIN25000025</t>
  </si>
  <si>
    <t>2025-05-22</t>
  </si>
  <si>
    <t>09:51</t>
  </si>
  <si>
    <t>Andheri</t>
  </si>
  <si>
    <t>Dadar</t>
  </si>
  <si>
    <t>UIN25000026</t>
  </si>
  <si>
    <t>01:04</t>
  </si>
  <si>
    <t>Chennai</t>
  </si>
  <si>
    <t>Adyar</t>
  </si>
  <si>
    <t>Tambaram</t>
  </si>
  <si>
    <t>00:00-02:59</t>
  </si>
  <si>
    <t>UIN25000027</t>
  </si>
  <si>
    <t>2025-06-27</t>
  </si>
  <si>
    <t>12:13</t>
  </si>
  <si>
    <t>UIN25000028</t>
  </si>
  <si>
    <t>2025-08-08</t>
  </si>
  <si>
    <t>02:29</t>
  </si>
  <si>
    <t>MI Road</t>
  </si>
  <si>
    <t>UIN25000029</t>
  </si>
  <si>
    <t>2025-06-04</t>
  </si>
  <si>
    <t>20:15</t>
  </si>
  <si>
    <t>Maninagar</t>
  </si>
  <si>
    <t>UIN25000030</t>
  </si>
  <si>
    <t>2025-07-31</t>
  </si>
  <si>
    <t>17:27</t>
  </si>
  <si>
    <t>UIN25000031</t>
  </si>
  <si>
    <t>2025-06-15</t>
  </si>
  <si>
    <t>21:08</t>
  </si>
  <si>
    <t>Electronic City</t>
  </si>
  <si>
    <t>UIN25000032</t>
  </si>
  <si>
    <t>2025-05-24</t>
  </si>
  <si>
    <t>20:55</t>
  </si>
  <si>
    <t>Hauz Khas</t>
  </si>
  <si>
    <t>UIN25000033</t>
  </si>
  <si>
    <t>2025-08-06</t>
  </si>
  <si>
    <t>18:10</t>
  </si>
  <si>
    <t>Vaishali Nagar</t>
  </si>
  <si>
    <t>UIN25000034</t>
  </si>
  <si>
    <t>2025-05-26</t>
  </si>
  <si>
    <t>06:24</t>
  </si>
  <si>
    <t>Karol Bagh</t>
  </si>
  <si>
    <t>Amazon Pay</t>
  </si>
  <si>
    <t>UIN25000035</t>
  </si>
  <si>
    <t>18:33</t>
  </si>
  <si>
    <t>GIFT City</t>
  </si>
  <si>
    <t>UIN25000036</t>
  </si>
  <si>
    <t>2025-05-19</t>
  </si>
  <si>
    <t>11:43</t>
  </si>
  <si>
    <t>UIN25000037</t>
  </si>
  <si>
    <t>2025-07-25</t>
  </si>
  <si>
    <t>Baner</t>
  </si>
  <si>
    <t>UIN25000038</t>
  </si>
  <si>
    <t>08:21</t>
  </si>
  <si>
    <t>UIN25000039</t>
  </si>
  <si>
    <t>2025-07-12</t>
  </si>
  <si>
    <t>20:10</t>
  </si>
  <si>
    <t>UIN25000040</t>
  </si>
  <si>
    <t>2025-06-20</t>
  </si>
  <si>
    <t>07:32</t>
  </si>
  <si>
    <t>Airport</t>
  </si>
  <si>
    <t>UIN25000041</t>
  </si>
  <si>
    <t>19:55</t>
  </si>
  <si>
    <t>UIN25000042</t>
  </si>
  <si>
    <t>16:32</t>
  </si>
  <si>
    <t>UIN25000043</t>
  </si>
  <si>
    <t>07:48</t>
  </si>
  <si>
    <t>UIN25000044</t>
  </si>
  <si>
    <t>2025-07-24</t>
  </si>
  <si>
    <t>16:58</t>
  </si>
  <si>
    <t>Banjara Hills</t>
  </si>
  <si>
    <t>Jubilee Hills</t>
  </si>
  <si>
    <t>UIN25000045</t>
  </si>
  <si>
    <t>07:31</t>
  </si>
  <si>
    <t>UIN25000046</t>
  </si>
  <si>
    <t>2025-07-03</t>
  </si>
  <si>
    <t>04:56</t>
  </si>
  <si>
    <t>UIN25000047</t>
  </si>
  <si>
    <t>2025-05-25</t>
  </si>
  <si>
    <t>16:15</t>
  </si>
  <si>
    <t>Park Street</t>
  </si>
  <si>
    <t>UIN25000048</t>
  </si>
  <si>
    <t>2025-07-19</t>
  </si>
  <si>
    <t>13:52</t>
  </si>
  <si>
    <t>UIN25000049</t>
  </si>
  <si>
    <t>14:49</t>
  </si>
  <si>
    <t>Shamshabad Airport</t>
  </si>
  <si>
    <t>UIN25000050</t>
  </si>
  <si>
    <t>13:30</t>
  </si>
  <si>
    <t>Howrah</t>
  </si>
  <si>
    <t>UIN25000051</t>
  </si>
  <si>
    <t>15:55</t>
  </si>
  <si>
    <t>UIN25000052</t>
  </si>
  <si>
    <t>2025-07-26</t>
  </si>
  <si>
    <t>14:48</t>
  </si>
  <si>
    <t>UIN25000053</t>
  </si>
  <si>
    <t>2025-06-26</t>
  </si>
  <si>
    <t>18:25</t>
  </si>
  <si>
    <t>UIN25000054</t>
  </si>
  <si>
    <t>2025-07-23</t>
  </si>
  <si>
    <t>13:28</t>
  </si>
  <si>
    <t>UIN25000055</t>
  </si>
  <si>
    <t>13:04</t>
  </si>
  <si>
    <t>UIN25000056</t>
  </si>
  <si>
    <t>2025-08-01</t>
  </si>
  <si>
    <t>18:35</t>
  </si>
  <si>
    <t>UIN25000057</t>
  </si>
  <si>
    <t>13:00</t>
  </si>
  <si>
    <t>UIN25000058</t>
  </si>
  <si>
    <t>21:03</t>
  </si>
  <si>
    <t>UIN25000059</t>
  </si>
  <si>
    <t>03:55</t>
  </si>
  <si>
    <t>T Nagar</t>
  </si>
  <si>
    <t>UIN25000060</t>
  </si>
  <si>
    <t>2025-07-22</t>
  </si>
  <si>
    <t>17:15</t>
  </si>
  <si>
    <t>UIN25000061</t>
  </si>
  <si>
    <t>13:13</t>
  </si>
  <si>
    <t>Koregaon Park</t>
  </si>
  <si>
    <t>UIN25000062</t>
  </si>
  <si>
    <t>2025-07-30</t>
  </si>
  <si>
    <t>15:36</t>
  </si>
  <si>
    <t>UIN25000063</t>
  </si>
  <si>
    <t>2025-07-17</t>
  </si>
  <si>
    <t>18:51</t>
  </si>
  <si>
    <t>UIN25000064</t>
  </si>
  <si>
    <t>2025-05-30</t>
  </si>
  <si>
    <t>12:06</t>
  </si>
  <si>
    <t>Thane</t>
  </si>
  <si>
    <t>UIN25000065</t>
  </si>
  <si>
    <t>13:26</t>
  </si>
  <si>
    <t>UIN25000066</t>
  </si>
  <si>
    <t>12:43</t>
  </si>
  <si>
    <t>Chennai Airport</t>
  </si>
  <si>
    <t>OMR</t>
  </si>
  <si>
    <t>UIN25000067</t>
  </si>
  <si>
    <t>2025-07-08</t>
  </si>
  <si>
    <t>17:46</t>
  </si>
  <si>
    <t>UIN25000068</t>
  </si>
  <si>
    <t>09:15</t>
  </si>
  <si>
    <t>Ajmer Road</t>
  </si>
  <si>
    <t>UIN25000069</t>
  </si>
  <si>
    <t>08:28</t>
  </si>
  <si>
    <t>UIN25000070</t>
  </si>
  <si>
    <t>2025-06-10</t>
  </si>
  <si>
    <t>09:17</t>
  </si>
  <si>
    <t>UIN25000071</t>
  </si>
  <si>
    <t>2025-05-27</t>
  </si>
  <si>
    <t>12:28</t>
  </si>
  <si>
    <t>UIN25000072</t>
  </si>
  <si>
    <t>2025-08-09</t>
  </si>
  <si>
    <t>20:34</t>
  </si>
  <si>
    <t>UIN25000073</t>
  </si>
  <si>
    <t>2025-06-17</t>
  </si>
  <si>
    <t>12:10</t>
  </si>
  <si>
    <t>UIN25000074</t>
  </si>
  <si>
    <t>2025-07-18</t>
  </si>
  <si>
    <t>10:13</t>
  </si>
  <si>
    <t>UIN25000075</t>
  </si>
  <si>
    <t>2025-06-08</t>
  </si>
  <si>
    <t>10:24</t>
  </si>
  <si>
    <t>UIN25000076</t>
  </si>
  <si>
    <t>17:59</t>
  </si>
  <si>
    <t>Salt Lake</t>
  </si>
  <si>
    <t>UIN25000077</t>
  </si>
  <si>
    <t>18:44</t>
  </si>
  <si>
    <t>Velachery</t>
  </si>
  <si>
    <t>UIN25000078</t>
  </si>
  <si>
    <t>09:18</t>
  </si>
  <si>
    <t>Guindy</t>
  </si>
  <si>
    <t>UIN25000079</t>
  </si>
  <si>
    <t>10:47</t>
  </si>
  <si>
    <t>UIN25000080</t>
  </si>
  <si>
    <t>02:03</t>
  </si>
  <si>
    <t>UIN25000081</t>
  </si>
  <si>
    <t>18:32</t>
  </si>
  <si>
    <t>UIN25000082</t>
  </si>
  <si>
    <t>01:05</t>
  </si>
  <si>
    <t>Dwarka</t>
  </si>
  <si>
    <t>UIN25000083</t>
  </si>
  <si>
    <t>2025-08-02</t>
  </si>
  <si>
    <t>23:04</t>
  </si>
  <si>
    <t>UIN25000084</t>
  </si>
  <si>
    <t>10:56</t>
  </si>
  <si>
    <t>Anna Nagar</t>
  </si>
  <si>
    <t>UIN25000085</t>
  </si>
  <si>
    <t>06:02</t>
  </si>
  <si>
    <t>UIN25000086</t>
  </si>
  <si>
    <t>09:37</t>
  </si>
  <si>
    <t>UIN25000087</t>
  </si>
  <si>
    <t>2025-06-13</t>
  </si>
  <si>
    <t>17:42</t>
  </si>
  <si>
    <t>UIN25000088</t>
  </si>
  <si>
    <t>17:25</t>
  </si>
  <si>
    <t>UIN25000089</t>
  </si>
  <si>
    <t>19:19</t>
  </si>
  <si>
    <t>UIN25000090</t>
  </si>
  <si>
    <t>07:00</t>
  </si>
  <si>
    <t>UIN25000091</t>
  </si>
  <si>
    <t>2025-07-29</t>
  </si>
  <si>
    <t>10:06</t>
  </si>
  <si>
    <t>Magarpatta</t>
  </si>
  <si>
    <t>UIN25000092</t>
  </si>
  <si>
    <t>12:32</t>
  </si>
  <si>
    <t>UIN25000093</t>
  </si>
  <si>
    <t>12:56</t>
  </si>
  <si>
    <t>Colaba</t>
  </si>
  <si>
    <t>UIN25000094</t>
  </si>
  <si>
    <t>03:18</t>
  </si>
  <si>
    <t>UIN25000095</t>
  </si>
  <si>
    <t>07:45</t>
  </si>
  <si>
    <t>UIN25000096</t>
  </si>
  <si>
    <t>13:33</t>
  </si>
  <si>
    <t>UIN25000097</t>
  </si>
  <si>
    <t>18:19</t>
  </si>
  <si>
    <t>UIN25000098</t>
  </si>
  <si>
    <t>14:07</t>
  </si>
  <si>
    <t>UIN25000099</t>
  </si>
  <si>
    <t>16:09</t>
  </si>
  <si>
    <t>UIN25000100</t>
  </si>
  <si>
    <t>2025-08-03</t>
  </si>
  <si>
    <t>19:13</t>
  </si>
  <si>
    <t>UIN25000101</t>
  </si>
  <si>
    <t>2025-08-13</t>
  </si>
  <si>
    <t>22:40</t>
  </si>
  <si>
    <t>Google Pay</t>
  </si>
  <si>
    <t>UIN25000102</t>
  </si>
  <si>
    <t>16:16</t>
  </si>
  <si>
    <t>UIN25000103</t>
  </si>
  <si>
    <t>23:27</t>
  </si>
  <si>
    <t>UIN25000104</t>
  </si>
  <si>
    <t>UIN25000105</t>
  </si>
  <si>
    <t>UIN25000106</t>
  </si>
  <si>
    <t>07:35</t>
  </si>
  <si>
    <t>UIN25000107</t>
  </si>
  <si>
    <t>08:56</t>
  </si>
  <si>
    <t>UIN25000108</t>
  </si>
  <si>
    <t>07:53</t>
  </si>
  <si>
    <t>UIN25000109</t>
  </si>
  <si>
    <t>23:09</t>
  </si>
  <si>
    <t>UIN25000110</t>
  </si>
  <si>
    <t>03:19</t>
  </si>
  <si>
    <t>UIN25000111</t>
  </si>
  <si>
    <t>21:57</t>
  </si>
  <si>
    <t>Esplanade</t>
  </si>
  <si>
    <t>UIN25000112</t>
  </si>
  <si>
    <t>UIN25000113</t>
  </si>
  <si>
    <t>2025-07-28</t>
  </si>
  <si>
    <t>20:56</t>
  </si>
  <si>
    <t>UIN25000114</t>
  </si>
  <si>
    <t>2025-06-06</t>
  </si>
  <si>
    <t>00:59</t>
  </si>
  <si>
    <t>UIN25000115</t>
  </si>
  <si>
    <t>2025-06-07</t>
  </si>
  <si>
    <t>11:51</t>
  </si>
  <si>
    <t>Charminar</t>
  </si>
  <si>
    <t>UIN25000116</t>
  </si>
  <si>
    <t>2025-05-21</t>
  </si>
  <si>
    <t>17:11</t>
  </si>
  <si>
    <t>UIN25000117</t>
  </si>
  <si>
    <t>2025-07-09</t>
  </si>
  <si>
    <t>UIN25000118</t>
  </si>
  <si>
    <t>14:50</t>
  </si>
  <si>
    <t>UIN25000119</t>
  </si>
  <si>
    <t>19:54</t>
  </si>
  <si>
    <t>UIN25000120</t>
  </si>
  <si>
    <t>09:52</t>
  </si>
  <si>
    <t>UIN25000121</t>
  </si>
  <si>
    <t>02:52</t>
  </si>
  <si>
    <t>UIN25000122</t>
  </si>
  <si>
    <t>11:42</t>
  </si>
  <si>
    <t>UIN25000123</t>
  </si>
  <si>
    <t>2025-06-29</t>
  </si>
  <si>
    <t>08:17</t>
  </si>
  <si>
    <t>UIN25000124</t>
  </si>
  <si>
    <t>16:22</t>
  </si>
  <si>
    <t>UIN25000125</t>
  </si>
  <si>
    <t>UIN25000126</t>
  </si>
  <si>
    <t>09:11</t>
  </si>
  <si>
    <t>UIN25000127</t>
  </si>
  <si>
    <t>04:38</t>
  </si>
  <si>
    <t>UIN25000128</t>
  </si>
  <si>
    <t>13:27</t>
  </si>
  <si>
    <t>UIN25000129</t>
  </si>
  <si>
    <t>06:12</t>
  </si>
  <si>
    <t>UIN25000130</t>
  </si>
  <si>
    <t>UIN25000131</t>
  </si>
  <si>
    <t>10:04</t>
  </si>
  <si>
    <t>UIN25000132</t>
  </si>
  <si>
    <t>12:42</t>
  </si>
  <si>
    <t>UIN25000133</t>
  </si>
  <si>
    <t>2025-06-25</t>
  </si>
  <si>
    <t>10:32</t>
  </si>
  <si>
    <t>Mansarovar</t>
  </si>
  <si>
    <t>UIN25000134</t>
  </si>
  <si>
    <t>00:20</t>
  </si>
  <si>
    <t>UIN25000135</t>
  </si>
  <si>
    <t>2025-06-24</t>
  </si>
  <si>
    <t>12:35</t>
  </si>
  <si>
    <t>UIN25000136</t>
  </si>
  <si>
    <t>2025-07-10</t>
  </si>
  <si>
    <t>18:42</t>
  </si>
  <si>
    <t>UIN25000137</t>
  </si>
  <si>
    <t>2025-06-09</t>
  </si>
  <si>
    <t>06:39</t>
  </si>
  <si>
    <t>UIN25000138</t>
  </si>
  <si>
    <t>00:53</t>
  </si>
  <si>
    <t>UIN25000139</t>
  </si>
  <si>
    <t>2025-06-23</t>
  </si>
  <si>
    <t>06:13</t>
  </si>
  <si>
    <t>UIN25000140</t>
  </si>
  <si>
    <t>14:38</t>
  </si>
  <si>
    <t>UIN25000141</t>
  </si>
  <si>
    <t>2025-07-13</t>
  </si>
  <si>
    <t>21:28</t>
  </si>
  <si>
    <t>UIN25000142</t>
  </si>
  <si>
    <t>09:50</t>
  </si>
  <si>
    <t>UIN25000143</t>
  </si>
  <si>
    <t>2025-05-28</t>
  </si>
  <si>
    <t>13:18</t>
  </si>
  <si>
    <t>UIN25000144</t>
  </si>
  <si>
    <t>18:43</t>
  </si>
  <si>
    <t>Malviya Nagar</t>
  </si>
  <si>
    <t>UIN25000145</t>
  </si>
  <si>
    <t>15:09</t>
  </si>
  <si>
    <t>UIN25000146</t>
  </si>
  <si>
    <t>2025-06-18</t>
  </si>
  <si>
    <t>20:30</t>
  </si>
  <si>
    <t>UIN25000147</t>
  </si>
  <si>
    <t>15:56</t>
  </si>
  <si>
    <t>UIN25000148</t>
  </si>
  <si>
    <t>2025-08-15</t>
  </si>
  <si>
    <t>19:24</t>
  </si>
  <si>
    <t>UIN25000149</t>
  </si>
  <si>
    <t>Navi Mumbai</t>
  </si>
  <si>
    <t>UIN25000150</t>
  </si>
  <si>
    <t>08:49</t>
  </si>
  <si>
    <t>UIN25000151</t>
  </si>
  <si>
    <t>UIN25000152</t>
  </si>
  <si>
    <t>18:15</t>
  </si>
  <si>
    <t>UIN25000153</t>
  </si>
  <si>
    <t>UIN25000154</t>
  </si>
  <si>
    <t>22:35</t>
  </si>
  <si>
    <t>UIN25000155</t>
  </si>
  <si>
    <t>22:39</t>
  </si>
  <si>
    <t>UIN25000156</t>
  </si>
  <si>
    <t>06:28</t>
  </si>
  <si>
    <t>UIN25000157</t>
  </si>
  <si>
    <t>14:28</t>
  </si>
  <si>
    <t>UIN25000158</t>
  </si>
  <si>
    <t>08:53</t>
  </si>
  <si>
    <t>UIN25000159</t>
  </si>
  <si>
    <t>13:31</t>
  </si>
  <si>
    <t>UIN25000160</t>
  </si>
  <si>
    <t>18:04</t>
  </si>
  <si>
    <t>UIN25000161</t>
  </si>
  <si>
    <t>23:21</t>
  </si>
  <si>
    <t>UIN25000162</t>
  </si>
  <si>
    <t>23:08</t>
  </si>
  <si>
    <t>UIN25000163</t>
  </si>
  <si>
    <t>2025-07-06</t>
  </si>
  <si>
    <t>20:44</t>
  </si>
  <si>
    <t>UIN25000164</t>
  </si>
  <si>
    <t>UIN25000165</t>
  </si>
  <si>
    <t>18:34</t>
  </si>
  <si>
    <t>Madhapur</t>
  </si>
  <si>
    <t>UIN25000166</t>
  </si>
  <si>
    <t>08:13</t>
  </si>
  <si>
    <t>UIN25000167</t>
  </si>
  <si>
    <t>10:44</t>
  </si>
  <si>
    <t>UIN25000168</t>
  </si>
  <si>
    <t>14:24</t>
  </si>
  <si>
    <t>UIN25000169</t>
  </si>
  <si>
    <t>2025-07-02</t>
  </si>
  <si>
    <t>20:19</t>
  </si>
  <si>
    <t>UIN25000170</t>
  </si>
  <si>
    <t>10:34</t>
  </si>
  <si>
    <t>UIN25000171</t>
  </si>
  <si>
    <t>23:17</t>
  </si>
  <si>
    <t>UIN25000172</t>
  </si>
  <si>
    <t>UIN25000173</t>
  </si>
  <si>
    <t>2025-08-12</t>
  </si>
  <si>
    <t>14:51</t>
  </si>
  <si>
    <t>UIN25000174</t>
  </si>
  <si>
    <t>13:53</t>
  </si>
  <si>
    <t>UIN25000175</t>
  </si>
  <si>
    <t>2025-08-05</t>
  </si>
  <si>
    <t>00:34</t>
  </si>
  <si>
    <t>UIN25000176</t>
  </si>
  <si>
    <t>13:36</t>
  </si>
  <si>
    <t>UIN25000177</t>
  </si>
  <si>
    <t>10:27</t>
  </si>
  <si>
    <t>UIN25000178</t>
  </si>
  <si>
    <t>06:11</t>
  </si>
  <si>
    <t>UIN25000179</t>
  </si>
  <si>
    <t>2025-07-05</t>
  </si>
  <si>
    <t>07:20</t>
  </si>
  <si>
    <t>UIN25000180</t>
  </si>
  <si>
    <t>10:21</t>
  </si>
  <si>
    <t>UIN25000181</t>
  </si>
  <si>
    <t>18:16</t>
  </si>
  <si>
    <t>UIN25000182</t>
  </si>
  <si>
    <t>2025-05-20</t>
  </si>
  <si>
    <t>20:47</t>
  </si>
  <si>
    <t>UIN25000183</t>
  </si>
  <si>
    <t>15:41</t>
  </si>
  <si>
    <t>UIN25000184</t>
  </si>
  <si>
    <t>08:02</t>
  </si>
  <si>
    <t>UIN25000185</t>
  </si>
  <si>
    <t>19:53</t>
  </si>
  <si>
    <t>UIN25000186</t>
  </si>
  <si>
    <t>UIN25000187</t>
  </si>
  <si>
    <t>2025-08-11</t>
  </si>
  <si>
    <t>11:07</t>
  </si>
  <si>
    <t>UIN25000188</t>
  </si>
  <si>
    <t>20:16</t>
  </si>
  <si>
    <t>UIN25000189</t>
  </si>
  <si>
    <t>07:38</t>
  </si>
  <si>
    <t>UIN25000190</t>
  </si>
  <si>
    <t>15:19</t>
  </si>
  <si>
    <t>UIN25000191</t>
  </si>
  <si>
    <t>20:59</t>
  </si>
  <si>
    <t>UIN25000192</t>
  </si>
  <si>
    <t>09:58</t>
  </si>
  <si>
    <t>UIN25000193</t>
  </si>
  <si>
    <t>19:04</t>
  </si>
  <si>
    <t>UIN25000194</t>
  </si>
  <si>
    <t>21:49</t>
  </si>
  <si>
    <t>Dumdum</t>
  </si>
  <si>
    <t>UIN25000195</t>
  </si>
  <si>
    <t>18:38</t>
  </si>
  <si>
    <t>UIN25000196</t>
  </si>
  <si>
    <t>16:50</t>
  </si>
  <si>
    <t>UIN25000197</t>
  </si>
  <si>
    <t>14:27</t>
  </si>
  <si>
    <t>UIN25000198</t>
  </si>
  <si>
    <t>2025-07-21</t>
  </si>
  <si>
    <t>10:41</t>
  </si>
  <si>
    <t>UIN25000199</t>
  </si>
  <si>
    <t>19:52</t>
  </si>
  <si>
    <t>UIN25000200</t>
  </si>
  <si>
    <t>17:23</t>
  </si>
  <si>
    <t>UIN25000201</t>
  </si>
  <si>
    <t>05:27</t>
  </si>
  <si>
    <t>UIN25000202</t>
  </si>
  <si>
    <t>12:41</t>
  </si>
  <si>
    <t>UIN25000203</t>
  </si>
  <si>
    <t>18:49</t>
  </si>
  <si>
    <t>UIN25000204</t>
  </si>
  <si>
    <t>14:52</t>
  </si>
  <si>
    <t>UIN25000205</t>
  </si>
  <si>
    <t>22:53</t>
  </si>
  <si>
    <t>UIN25000206</t>
  </si>
  <si>
    <t>UIN25000207</t>
  </si>
  <si>
    <t>2025-08-04</t>
  </si>
  <si>
    <t>UIN25000208</t>
  </si>
  <si>
    <t>18:31</t>
  </si>
  <si>
    <t>UIN25000209</t>
  </si>
  <si>
    <t>UIN25000210</t>
  </si>
  <si>
    <t>06:21</t>
  </si>
  <si>
    <t>UIN25000211</t>
  </si>
  <si>
    <t>14:56</t>
  </si>
  <si>
    <t>UIN25000212</t>
  </si>
  <si>
    <t>08:33</t>
  </si>
  <si>
    <t>UIN25000213</t>
  </si>
  <si>
    <t>13:46</t>
  </si>
  <si>
    <t>UIN25000214</t>
  </si>
  <si>
    <t>10:48</t>
  </si>
  <si>
    <t>UIN25000215</t>
  </si>
  <si>
    <t>07:41</t>
  </si>
  <si>
    <t>UIN25000216</t>
  </si>
  <si>
    <t>10:05</t>
  </si>
  <si>
    <t>UIN25000217</t>
  </si>
  <si>
    <t>12:44</t>
  </si>
  <si>
    <t>UIN25000218</t>
  </si>
  <si>
    <t>08:37</t>
  </si>
  <si>
    <t>UIN25000219</t>
  </si>
  <si>
    <t>UIN25000220</t>
  </si>
  <si>
    <t>UIN25000221</t>
  </si>
  <si>
    <t>2025-07-15</t>
  </si>
  <si>
    <t>10:17</t>
  </si>
  <si>
    <t>UIN25000222</t>
  </si>
  <si>
    <t>UIN25000223</t>
  </si>
  <si>
    <t>14:47</t>
  </si>
  <si>
    <t>UIN25000224</t>
  </si>
  <si>
    <t>19:47</t>
  </si>
  <si>
    <t>UIN25000225</t>
  </si>
  <si>
    <t>11:48</t>
  </si>
  <si>
    <t>UIN25000226</t>
  </si>
  <si>
    <t>19:18</t>
  </si>
  <si>
    <t>UIN25000227</t>
  </si>
  <si>
    <t>16:19</t>
  </si>
  <si>
    <t>UIN25000228</t>
  </si>
  <si>
    <t>10:08</t>
  </si>
  <si>
    <t>UIN25000229</t>
  </si>
  <si>
    <t>21:35</t>
  </si>
  <si>
    <t>UIN25000230</t>
  </si>
  <si>
    <t>2025-06-03</t>
  </si>
  <si>
    <t>23:40</t>
  </si>
  <si>
    <t>UIN25000231</t>
  </si>
  <si>
    <t>08:36</t>
  </si>
  <si>
    <t>UIN25000232</t>
  </si>
  <si>
    <t>16:28</t>
  </si>
  <si>
    <t>UIN25000233</t>
  </si>
  <si>
    <t>17:16</t>
  </si>
  <si>
    <t>UIN25000234</t>
  </si>
  <si>
    <t>16:25</t>
  </si>
  <si>
    <t>UIN25000235</t>
  </si>
  <si>
    <t>17:40</t>
  </si>
  <si>
    <t>UIN25000236</t>
  </si>
  <si>
    <t>06:51</t>
  </si>
  <si>
    <t>UIN25000237</t>
  </si>
  <si>
    <t>UIN25000238</t>
  </si>
  <si>
    <t>UIN25000239</t>
  </si>
  <si>
    <t>05:24</t>
  </si>
  <si>
    <t>UIN25000240</t>
  </si>
  <si>
    <t>08:55</t>
  </si>
  <si>
    <t>UIN25000241</t>
  </si>
  <si>
    <t>19:39</t>
  </si>
  <si>
    <t>UIN25000242</t>
  </si>
  <si>
    <t>UIN25000243</t>
  </si>
  <si>
    <t>08:16</t>
  </si>
  <si>
    <t>UIN25000244</t>
  </si>
  <si>
    <t>08:11</t>
  </si>
  <si>
    <t>UIN25000245</t>
  </si>
  <si>
    <t>17:26</t>
  </si>
  <si>
    <t>UIN25000246</t>
  </si>
  <si>
    <t>07:30</t>
  </si>
  <si>
    <t>UIN25000247</t>
  </si>
  <si>
    <t>UIN25000248</t>
  </si>
  <si>
    <t>08:04</t>
  </si>
  <si>
    <t>UIN25000249</t>
  </si>
  <si>
    <t>16:37</t>
  </si>
  <si>
    <t>UIN25000250</t>
  </si>
  <si>
    <t>2025-06-01</t>
  </si>
  <si>
    <t>13:34</t>
  </si>
  <si>
    <t>UIN25000251</t>
  </si>
  <si>
    <t>18:58</t>
  </si>
  <si>
    <t>UIN25000252</t>
  </si>
  <si>
    <t>2025-06-05</t>
  </si>
  <si>
    <t>UIN25000253</t>
  </si>
  <si>
    <t>09:38</t>
  </si>
  <si>
    <t>UIN25000254</t>
  </si>
  <si>
    <t>11:29</t>
  </si>
  <si>
    <t>UIN25000255</t>
  </si>
  <si>
    <t>UIN25000256</t>
  </si>
  <si>
    <t>UIN25000257</t>
  </si>
  <si>
    <t>19:38</t>
  </si>
  <si>
    <t>UIN25000258</t>
  </si>
  <si>
    <t>10:14</t>
  </si>
  <si>
    <t>UIN25000259</t>
  </si>
  <si>
    <t>UIN25000260</t>
  </si>
  <si>
    <t>21:48</t>
  </si>
  <si>
    <t>UIN25000261</t>
  </si>
  <si>
    <t>11:41</t>
  </si>
  <si>
    <t>UIN25000262</t>
  </si>
  <si>
    <t>12:37</t>
  </si>
  <si>
    <t>UIN25000263</t>
  </si>
  <si>
    <t>15:05</t>
  </si>
  <si>
    <t>UIN25000264</t>
  </si>
  <si>
    <t>16:21</t>
  </si>
  <si>
    <t>UIN25000265</t>
  </si>
  <si>
    <t>06:54</t>
  </si>
  <si>
    <t>UIN25000266</t>
  </si>
  <si>
    <t>22:44</t>
  </si>
  <si>
    <t>UIN25000267</t>
  </si>
  <si>
    <t>10:25</t>
  </si>
  <si>
    <t>UIN25000268</t>
  </si>
  <si>
    <t>15:20</t>
  </si>
  <si>
    <t>UIN25000269</t>
  </si>
  <si>
    <t>12:49</t>
  </si>
  <si>
    <t>UIN25000270</t>
  </si>
  <si>
    <t>18:52</t>
  </si>
  <si>
    <t>UIN25000271</t>
  </si>
  <si>
    <t>08:29</t>
  </si>
  <si>
    <t>UIN25000272</t>
  </si>
  <si>
    <t>UIN25000273</t>
  </si>
  <si>
    <t>2025-07-20</t>
  </si>
  <si>
    <t>18:40</t>
  </si>
  <si>
    <t>UIN25000274</t>
  </si>
  <si>
    <t>00:13</t>
  </si>
  <si>
    <t>UIN25000275</t>
  </si>
  <si>
    <t>04:59</t>
  </si>
  <si>
    <t>UIN25000276</t>
  </si>
  <si>
    <t>UIN25000277</t>
  </si>
  <si>
    <t>03:38</t>
  </si>
  <si>
    <t>UIN25000278</t>
  </si>
  <si>
    <t>UIN25000279</t>
  </si>
  <si>
    <t>UIN25000280</t>
  </si>
  <si>
    <t>10:29</t>
  </si>
  <si>
    <t>UIN25000281</t>
  </si>
  <si>
    <t>10:31</t>
  </si>
  <si>
    <t>UIN25000282</t>
  </si>
  <si>
    <t>12:26</t>
  </si>
  <si>
    <t>UIN25000283</t>
  </si>
  <si>
    <t>05:29</t>
  </si>
  <si>
    <t>UIN25000284</t>
  </si>
  <si>
    <t>12:58</t>
  </si>
  <si>
    <t>UIN25000285</t>
  </si>
  <si>
    <t>07:17</t>
  </si>
  <si>
    <t>UIN25000286</t>
  </si>
  <si>
    <t>00:17</t>
  </si>
  <si>
    <t>UIN25000287</t>
  </si>
  <si>
    <t>16:53</t>
  </si>
  <si>
    <t>UIN25000288</t>
  </si>
  <si>
    <t>15:28</t>
  </si>
  <si>
    <t>UIN25000289</t>
  </si>
  <si>
    <t>13:35</t>
  </si>
  <si>
    <t>UIN25000290</t>
  </si>
  <si>
    <t>07:55</t>
  </si>
  <si>
    <t>UIN25000291</t>
  </si>
  <si>
    <t>12:36</t>
  </si>
  <si>
    <t>UIN25000292</t>
  </si>
  <si>
    <t>15:02</t>
  </si>
  <si>
    <t>UIN25000293</t>
  </si>
  <si>
    <t>04:45</t>
  </si>
  <si>
    <t>UIN25000294</t>
  </si>
  <si>
    <t>UIN25000295</t>
  </si>
  <si>
    <t>12:08</t>
  </si>
  <si>
    <t>UIN25000296</t>
  </si>
  <si>
    <t>09:55</t>
  </si>
  <si>
    <t>UIN25000297</t>
  </si>
  <si>
    <t>15:58</t>
  </si>
  <si>
    <t>UIN25000298</t>
  </si>
  <si>
    <t>UIN25000299</t>
  </si>
  <si>
    <t>05:50</t>
  </si>
  <si>
    <t>UIN25000300</t>
  </si>
  <si>
    <t>11:44</t>
  </si>
  <si>
    <t>UIN25000301</t>
  </si>
  <si>
    <t>08:54</t>
  </si>
  <si>
    <t>UIN25000302</t>
  </si>
  <si>
    <t>12:54</t>
  </si>
  <si>
    <t>UIN25000303</t>
  </si>
  <si>
    <t>17:45</t>
  </si>
  <si>
    <t>UIN25000304</t>
  </si>
  <si>
    <t>09:02</t>
  </si>
  <si>
    <t>UIN25000305</t>
  </si>
  <si>
    <t>06:43</t>
  </si>
  <si>
    <t>UIN25000306</t>
  </si>
  <si>
    <t>12:27</t>
  </si>
  <si>
    <t>UIN25000307</t>
  </si>
  <si>
    <t>19:45</t>
  </si>
  <si>
    <t>UIN25000308</t>
  </si>
  <si>
    <t>15:44</t>
  </si>
  <si>
    <t>UIN25000309</t>
  </si>
  <si>
    <t>17:20</t>
  </si>
  <si>
    <t>UIN25000310</t>
  </si>
  <si>
    <t>12:23</t>
  </si>
  <si>
    <t>UIN25000311</t>
  </si>
  <si>
    <t>15:33</t>
  </si>
  <si>
    <t>UIN25000312</t>
  </si>
  <si>
    <t>UIN25000313</t>
  </si>
  <si>
    <t>07:05</t>
  </si>
  <si>
    <t>UIN25000314</t>
  </si>
  <si>
    <t>14:15</t>
  </si>
  <si>
    <t>UIN25000315</t>
  </si>
  <si>
    <t>23:14</t>
  </si>
  <si>
    <t>UIN25000316</t>
  </si>
  <si>
    <t>2025-06-19</t>
  </si>
  <si>
    <t>16:29</t>
  </si>
  <si>
    <t>UIN25000317</t>
  </si>
  <si>
    <t>12:57</t>
  </si>
  <si>
    <t>UIN25000318</t>
  </si>
  <si>
    <t>15:34</t>
  </si>
  <si>
    <t>UIN25000319</t>
  </si>
  <si>
    <t>15:22</t>
  </si>
  <si>
    <t>UIN25000320</t>
  </si>
  <si>
    <t>UIN25000321</t>
  </si>
  <si>
    <t>15:12</t>
  </si>
  <si>
    <t>UIN25000322</t>
  </si>
  <si>
    <t>20:06</t>
  </si>
  <si>
    <t>UIN25000323</t>
  </si>
  <si>
    <t>11:22</t>
  </si>
  <si>
    <t>UIN25000324</t>
  </si>
  <si>
    <t>15:01</t>
  </si>
  <si>
    <t>UIN25000325</t>
  </si>
  <si>
    <t>06:36</t>
  </si>
  <si>
    <t>UIN25000326</t>
  </si>
  <si>
    <t>20:53</t>
  </si>
  <si>
    <t>UIN25000327</t>
  </si>
  <si>
    <t>02:38</t>
  </si>
  <si>
    <t>UIN25000328</t>
  </si>
  <si>
    <t>20:12</t>
  </si>
  <si>
    <t>UIN25000329</t>
  </si>
  <si>
    <t>UIN25000330</t>
  </si>
  <si>
    <t>15:57</t>
  </si>
  <si>
    <t>UIN25000331</t>
  </si>
  <si>
    <t>UIN25000332</t>
  </si>
  <si>
    <t>14:05</t>
  </si>
  <si>
    <t>UIN25000333</t>
  </si>
  <si>
    <t>UIN25000334</t>
  </si>
  <si>
    <t>02:56</t>
  </si>
  <si>
    <t>UIN25000335</t>
  </si>
  <si>
    <t>13:58</t>
  </si>
  <si>
    <t>UIN25000336</t>
  </si>
  <si>
    <t>11:16</t>
  </si>
  <si>
    <t>UIN25000337</t>
  </si>
  <si>
    <t>11:47</t>
  </si>
  <si>
    <t>UIN25000338</t>
  </si>
  <si>
    <t>UIN25000339</t>
  </si>
  <si>
    <t>UIN25000340</t>
  </si>
  <si>
    <t>14:23</t>
  </si>
  <si>
    <t>UIN25000341</t>
  </si>
  <si>
    <t>2025-07-07</t>
  </si>
  <si>
    <t>14:00</t>
  </si>
  <si>
    <t>UIN25000342</t>
  </si>
  <si>
    <t>20:29</t>
  </si>
  <si>
    <t>UIN25000343</t>
  </si>
  <si>
    <t>UIN25000344</t>
  </si>
  <si>
    <t>01:23</t>
  </si>
  <si>
    <t>UIN25000345</t>
  </si>
  <si>
    <t>UIN25000346</t>
  </si>
  <si>
    <t>16:20</t>
  </si>
  <si>
    <t>UIN25000347</t>
  </si>
  <si>
    <t>13:40</t>
  </si>
  <si>
    <t>UIN25000348</t>
  </si>
  <si>
    <t>UIN25000349</t>
  </si>
  <si>
    <t>19:02</t>
  </si>
  <si>
    <t>UIN25000350</t>
  </si>
  <si>
    <t>10:07</t>
  </si>
  <si>
    <t>UIN25000351</t>
  </si>
  <si>
    <t>20:08</t>
  </si>
  <si>
    <t>UIN25000352</t>
  </si>
  <si>
    <t>UIN25000353</t>
  </si>
  <si>
    <t>11:56</t>
  </si>
  <si>
    <t>UIN25000354</t>
  </si>
  <si>
    <t>UIN25000355</t>
  </si>
  <si>
    <t>UIN25000356</t>
  </si>
  <si>
    <t>UIN25000357</t>
  </si>
  <si>
    <t>UIN25000358</t>
  </si>
  <si>
    <t>07:23</t>
  </si>
  <si>
    <t>UIN25000359</t>
  </si>
  <si>
    <t>19:17</t>
  </si>
  <si>
    <t>UIN25000360</t>
  </si>
  <si>
    <t>06:05</t>
  </si>
  <si>
    <t>UIN25000361</t>
  </si>
  <si>
    <t>20:38</t>
  </si>
  <si>
    <t>UIN25000362</t>
  </si>
  <si>
    <t>UIN25000363</t>
  </si>
  <si>
    <t>18:13</t>
  </si>
  <si>
    <t>UIN25000364</t>
  </si>
  <si>
    <t>UIN25000365</t>
  </si>
  <si>
    <t>04:21</t>
  </si>
  <si>
    <t>UIN25000366</t>
  </si>
  <si>
    <t>UIN25000367</t>
  </si>
  <si>
    <t>UIN25000368</t>
  </si>
  <si>
    <t>17:07</t>
  </si>
  <si>
    <t>UIN25000369</t>
  </si>
  <si>
    <t>UIN25000370</t>
  </si>
  <si>
    <t>08:01</t>
  </si>
  <si>
    <t>UIN25000371</t>
  </si>
  <si>
    <t>15:08</t>
  </si>
  <si>
    <t>UIN25000372</t>
  </si>
  <si>
    <t>12:47</t>
  </si>
  <si>
    <t>UIN25000373</t>
  </si>
  <si>
    <t>16:49</t>
  </si>
  <si>
    <t>UIN25000374</t>
  </si>
  <si>
    <t>16:06</t>
  </si>
  <si>
    <t>UIN25000375</t>
  </si>
  <si>
    <t>14:39</t>
  </si>
  <si>
    <t>UIN25000376</t>
  </si>
  <si>
    <t>07:33</t>
  </si>
  <si>
    <t>UIN25000377</t>
  </si>
  <si>
    <t>11:01</t>
  </si>
  <si>
    <t>UIN25000378</t>
  </si>
  <si>
    <t>16:27</t>
  </si>
  <si>
    <t>UIN25000379</t>
  </si>
  <si>
    <t>15:04</t>
  </si>
  <si>
    <t>UIN25000380</t>
  </si>
  <si>
    <t>UIN25000381</t>
  </si>
  <si>
    <t>UIN25000382</t>
  </si>
  <si>
    <t>00:33</t>
  </si>
  <si>
    <t>UIN25000383</t>
  </si>
  <si>
    <t>UIN25000384</t>
  </si>
  <si>
    <t>04:07</t>
  </si>
  <si>
    <t>UIN25000385</t>
  </si>
  <si>
    <t>UIN25000386</t>
  </si>
  <si>
    <t>2025-06-30</t>
  </si>
  <si>
    <t>UIN25000387</t>
  </si>
  <si>
    <t>15:46</t>
  </si>
  <si>
    <t>UIN25000388</t>
  </si>
  <si>
    <t>08:20</t>
  </si>
  <si>
    <t>UIN25000389</t>
  </si>
  <si>
    <t>07:43</t>
  </si>
  <si>
    <t>UIN25000390</t>
  </si>
  <si>
    <t>UIN25000391</t>
  </si>
  <si>
    <t>18:06</t>
  </si>
  <si>
    <t>UIN25000392</t>
  </si>
  <si>
    <t>17:35</t>
  </si>
  <si>
    <t>UIN25000393</t>
  </si>
  <si>
    <t>09:35</t>
  </si>
  <si>
    <t>UIN25000394</t>
  </si>
  <si>
    <t>15:26</t>
  </si>
  <si>
    <t>UIN25000395</t>
  </si>
  <si>
    <t>13:48</t>
  </si>
  <si>
    <t>UIN25000396</t>
  </si>
  <si>
    <t>06:18</t>
  </si>
  <si>
    <t>UIN25000397</t>
  </si>
  <si>
    <t>09:36</t>
  </si>
  <si>
    <t>UIN25000398</t>
  </si>
  <si>
    <t>10:30</t>
  </si>
  <si>
    <t>UIN25000399</t>
  </si>
  <si>
    <t>18:22</t>
  </si>
  <si>
    <t>UIN25000400</t>
  </si>
  <si>
    <t>11:36</t>
  </si>
  <si>
    <t>UIN25000401</t>
  </si>
  <si>
    <t>11:54</t>
  </si>
  <si>
    <t>UIN25000402</t>
  </si>
  <si>
    <t>21:53</t>
  </si>
  <si>
    <t>UIN25000403</t>
  </si>
  <si>
    <t>UIN25000404</t>
  </si>
  <si>
    <t>23:00</t>
  </si>
  <si>
    <t>UIN25000405</t>
  </si>
  <si>
    <t>19:36</t>
  </si>
  <si>
    <t>UIN25000406</t>
  </si>
  <si>
    <t>15:47</t>
  </si>
  <si>
    <t>UIN25000407</t>
  </si>
  <si>
    <t>UIN25000408</t>
  </si>
  <si>
    <t>UIN25000409</t>
  </si>
  <si>
    <t>UIN25000410</t>
  </si>
  <si>
    <t>UIN25000411</t>
  </si>
  <si>
    <t>UIN25000412</t>
  </si>
  <si>
    <t>11:17</t>
  </si>
  <si>
    <t>UIN25000413</t>
  </si>
  <si>
    <t>08:31</t>
  </si>
  <si>
    <t>UIN25000414</t>
  </si>
  <si>
    <t>05:13</t>
  </si>
  <si>
    <t>UIN25000415</t>
  </si>
  <si>
    <t>18:07</t>
  </si>
  <si>
    <t>UIN25000416</t>
  </si>
  <si>
    <t>06:37</t>
  </si>
  <si>
    <t>UIN25000417</t>
  </si>
  <si>
    <t>UIN25000418</t>
  </si>
  <si>
    <t>17:38</t>
  </si>
  <si>
    <t>UIN25000419</t>
  </si>
  <si>
    <t>22:19</t>
  </si>
  <si>
    <t>UIN25000420</t>
  </si>
  <si>
    <t>17:48</t>
  </si>
  <si>
    <t>UIN25000421</t>
  </si>
  <si>
    <t>16:07</t>
  </si>
  <si>
    <t>UIN25000422</t>
  </si>
  <si>
    <t>12:11</t>
  </si>
  <si>
    <t>UIN25000423</t>
  </si>
  <si>
    <t>UIN25000424</t>
  </si>
  <si>
    <t>UIN25000425</t>
  </si>
  <si>
    <t>02:55</t>
  </si>
  <si>
    <t>UIN25000426</t>
  </si>
  <si>
    <t>19:29</t>
  </si>
  <si>
    <t>UIN25000427</t>
  </si>
  <si>
    <t>UIN25000428</t>
  </si>
  <si>
    <t>UIN25000429</t>
  </si>
  <si>
    <t>12:25</t>
  </si>
  <si>
    <t>UIN25000430</t>
  </si>
  <si>
    <t>12:51</t>
  </si>
  <si>
    <t>UIN25000431</t>
  </si>
  <si>
    <t>UIN25000432</t>
  </si>
  <si>
    <t>UIN25000433</t>
  </si>
  <si>
    <t>UIN25000434</t>
  </si>
  <si>
    <t>UIN25000435</t>
  </si>
  <si>
    <t>11:14</t>
  </si>
  <si>
    <t>UIN25000436</t>
  </si>
  <si>
    <t>22:04</t>
  </si>
  <si>
    <t>UIN25000437</t>
  </si>
  <si>
    <t>12:12</t>
  </si>
  <si>
    <t>UIN25000438</t>
  </si>
  <si>
    <t>08:52</t>
  </si>
  <si>
    <t>UIN25000439</t>
  </si>
  <si>
    <t>UIN25000440</t>
  </si>
  <si>
    <t>08:38</t>
  </si>
  <si>
    <t>UIN25000441</t>
  </si>
  <si>
    <t>12:04</t>
  </si>
  <si>
    <t>UIN25000442</t>
  </si>
  <si>
    <t>19:31</t>
  </si>
  <si>
    <t>UIN25000443</t>
  </si>
  <si>
    <t>20:48</t>
  </si>
  <si>
    <t>UIN25000444</t>
  </si>
  <si>
    <t>16:41</t>
  </si>
  <si>
    <t>UIN25000445</t>
  </si>
  <si>
    <t>21:20</t>
  </si>
  <si>
    <t>UIN25000446</t>
  </si>
  <si>
    <t>18:30</t>
  </si>
  <si>
    <t>UIN25000447</t>
  </si>
  <si>
    <t>UIN25000448</t>
  </si>
  <si>
    <t>10:22</t>
  </si>
  <si>
    <t>UIN25000449</t>
  </si>
  <si>
    <t>UIN25000450</t>
  </si>
  <si>
    <t>UIN25000451</t>
  </si>
  <si>
    <t>17:55</t>
  </si>
  <si>
    <t>UIN25000452</t>
  </si>
  <si>
    <t>UIN25000453</t>
  </si>
  <si>
    <t>19:35</t>
  </si>
  <si>
    <t>UIN25000454</t>
  </si>
  <si>
    <t>17:41</t>
  </si>
  <si>
    <t>UIN25000455</t>
  </si>
  <si>
    <t>UIN25000456</t>
  </si>
  <si>
    <t>11:06</t>
  </si>
  <si>
    <t>UIN25000457</t>
  </si>
  <si>
    <t>UIN25000458</t>
  </si>
  <si>
    <t>12:45</t>
  </si>
  <si>
    <t>UIN25000459</t>
  </si>
  <si>
    <t>UIN25000460</t>
  </si>
  <si>
    <t>21:58</t>
  </si>
  <si>
    <t>UIN25000461</t>
  </si>
  <si>
    <t>07:49</t>
  </si>
  <si>
    <t>UIN25000462</t>
  </si>
  <si>
    <t>18:03</t>
  </si>
  <si>
    <t>UIN25000463</t>
  </si>
  <si>
    <t>05:06</t>
  </si>
  <si>
    <t>UIN25000464</t>
  </si>
  <si>
    <t>11:46</t>
  </si>
  <si>
    <t>UIN25000465</t>
  </si>
  <si>
    <t>UIN25000466</t>
  </si>
  <si>
    <t>UIN25000467</t>
  </si>
  <si>
    <t>10:45</t>
  </si>
  <si>
    <t>UIN25000468</t>
  </si>
  <si>
    <t>UIN25000469</t>
  </si>
  <si>
    <t>08:42</t>
  </si>
  <si>
    <t>UIN25000470</t>
  </si>
  <si>
    <t>UIN25000471</t>
  </si>
  <si>
    <t>UIN25000472</t>
  </si>
  <si>
    <t>09:49</t>
  </si>
  <si>
    <t>UIN25000473</t>
  </si>
  <si>
    <t>UIN25000474</t>
  </si>
  <si>
    <t>13:54</t>
  </si>
  <si>
    <t>UIN25000475</t>
  </si>
  <si>
    <t>09:53</t>
  </si>
  <si>
    <t>UIN25000476</t>
  </si>
  <si>
    <t>21:56</t>
  </si>
  <si>
    <t>UIN25000477</t>
  </si>
  <si>
    <t>09:09</t>
  </si>
  <si>
    <t>UIN25000478</t>
  </si>
  <si>
    <t>20:49</t>
  </si>
  <si>
    <t>UIN25000479</t>
  </si>
  <si>
    <t>UIN25000480</t>
  </si>
  <si>
    <t>12:46</t>
  </si>
  <si>
    <t>UIN25000481</t>
  </si>
  <si>
    <t>UIN25000482</t>
  </si>
  <si>
    <t>05:15</t>
  </si>
  <si>
    <t>UIN25000483</t>
  </si>
  <si>
    <t>13:57</t>
  </si>
  <si>
    <t>UIN25000484</t>
  </si>
  <si>
    <t>18:36</t>
  </si>
  <si>
    <t>UIN25000485</t>
  </si>
  <si>
    <t>13:49</t>
  </si>
  <si>
    <t>UIN25000486</t>
  </si>
  <si>
    <t>09:26</t>
  </si>
  <si>
    <t>UIN25000487</t>
  </si>
  <si>
    <t>UIN25000488</t>
  </si>
  <si>
    <t>17:03</t>
  </si>
  <si>
    <t>UIN25000489</t>
  </si>
  <si>
    <t>UIN25000490</t>
  </si>
  <si>
    <t>18:54</t>
  </si>
  <si>
    <t>UIN25000491</t>
  </si>
  <si>
    <t>02:48</t>
  </si>
  <si>
    <t>UIN25000492</t>
  </si>
  <si>
    <t>UIN25000493</t>
  </si>
  <si>
    <t>18:05</t>
  </si>
  <si>
    <t>UIN25000494</t>
  </si>
  <si>
    <t>UIN25000495</t>
  </si>
  <si>
    <t>20:03</t>
  </si>
  <si>
    <t>UIN25000496</t>
  </si>
  <si>
    <t>19:15</t>
  </si>
  <si>
    <t>UIN25000497</t>
  </si>
  <si>
    <t>07:14</t>
  </si>
  <si>
    <t>UIN25000498</t>
  </si>
  <si>
    <t>17:53</t>
  </si>
  <si>
    <t>UIN25000499</t>
  </si>
  <si>
    <t>16:08</t>
  </si>
  <si>
    <t>UIN25000500</t>
  </si>
  <si>
    <t>UIN25000501</t>
  </si>
  <si>
    <t>07:28</t>
  </si>
  <si>
    <t>UIN25000502</t>
  </si>
  <si>
    <t>07:16</t>
  </si>
  <si>
    <t>UIN25000503</t>
  </si>
  <si>
    <t>UIN25000504</t>
  </si>
  <si>
    <t>UIN25000505</t>
  </si>
  <si>
    <t>UIN25000506</t>
  </si>
  <si>
    <t>09:29</t>
  </si>
  <si>
    <t>UIN25000507</t>
  </si>
  <si>
    <t>21:38</t>
  </si>
  <si>
    <t>UIN25000508</t>
  </si>
  <si>
    <t>UIN25000509</t>
  </si>
  <si>
    <t>22:18</t>
  </si>
  <si>
    <t>UIN25000510</t>
  </si>
  <si>
    <t>05:22</t>
  </si>
  <si>
    <t>UIN25000511</t>
  </si>
  <si>
    <t>13:11</t>
  </si>
  <si>
    <t>UIN25000512</t>
  </si>
  <si>
    <t>UIN25000513</t>
  </si>
  <si>
    <t>22:02</t>
  </si>
  <si>
    <t>UIN25000514</t>
  </si>
  <si>
    <t>UIN25000515</t>
  </si>
  <si>
    <t>20:22</t>
  </si>
  <si>
    <t>UIN25000516</t>
  </si>
  <si>
    <t>06:40</t>
  </si>
  <si>
    <t>UIN25000517</t>
  </si>
  <si>
    <t>08:47</t>
  </si>
  <si>
    <t>UIN25000518</t>
  </si>
  <si>
    <t>UIN25000519</t>
  </si>
  <si>
    <t>16:11</t>
  </si>
  <si>
    <t>UIN25000520</t>
  </si>
  <si>
    <t>15:40</t>
  </si>
  <si>
    <t>UIN25000521</t>
  </si>
  <si>
    <t>16:04</t>
  </si>
  <si>
    <t>UIN25000522</t>
  </si>
  <si>
    <t>16:12</t>
  </si>
  <si>
    <t>UIN25000523</t>
  </si>
  <si>
    <t>UIN25000524</t>
  </si>
  <si>
    <t>UIN25000525</t>
  </si>
  <si>
    <t>04:30</t>
  </si>
  <si>
    <t>UIN25000526</t>
  </si>
  <si>
    <t>UIN25000527</t>
  </si>
  <si>
    <t>UIN25000528</t>
  </si>
  <si>
    <t>22:51</t>
  </si>
  <si>
    <t>UIN25000529</t>
  </si>
  <si>
    <t>UIN25000530</t>
  </si>
  <si>
    <t>UIN25000531</t>
  </si>
  <si>
    <t>20:23</t>
  </si>
  <si>
    <t>UIN25000532</t>
  </si>
  <si>
    <t>16:46</t>
  </si>
  <si>
    <t>UIN25000533</t>
  </si>
  <si>
    <t>13:38</t>
  </si>
  <si>
    <t>UIN25000534</t>
  </si>
  <si>
    <t>09:20</t>
  </si>
  <si>
    <t>UIN25000535</t>
  </si>
  <si>
    <t>20:42</t>
  </si>
  <si>
    <t>UIN25000536</t>
  </si>
  <si>
    <t>06:38</t>
  </si>
  <si>
    <t>UIN25000537</t>
  </si>
  <si>
    <t>UIN25000538</t>
  </si>
  <si>
    <t>22:46</t>
  </si>
  <si>
    <t>UIN25000539</t>
  </si>
  <si>
    <t>17:17</t>
  </si>
  <si>
    <t>UIN25000540</t>
  </si>
  <si>
    <t>08:40</t>
  </si>
  <si>
    <t>UIN25000541</t>
  </si>
  <si>
    <t>15:51</t>
  </si>
  <si>
    <t>UIN25000542</t>
  </si>
  <si>
    <t>21:54</t>
  </si>
  <si>
    <t>UIN25000543</t>
  </si>
  <si>
    <t>UIN25000544</t>
  </si>
  <si>
    <t>05:23</t>
  </si>
  <si>
    <t>UIN25000545</t>
  </si>
  <si>
    <t>UIN25000546</t>
  </si>
  <si>
    <t>UIN25000547</t>
  </si>
  <si>
    <t>02:36</t>
  </si>
  <si>
    <t>UIN25000548</t>
  </si>
  <si>
    <t>14:25</t>
  </si>
  <si>
    <t>UIN25000549</t>
  </si>
  <si>
    <t>13:15</t>
  </si>
  <si>
    <t>UIN25000550</t>
  </si>
  <si>
    <t>06:31</t>
  </si>
  <si>
    <t>UIN25000551</t>
  </si>
  <si>
    <t>UIN25000552</t>
  </si>
  <si>
    <t>16:13</t>
  </si>
  <si>
    <t>UIN25000553</t>
  </si>
  <si>
    <t>21:12</t>
  </si>
  <si>
    <t>UIN25000554</t>
  </si>
  <si>
    <t>UIN25000555</t>
  </si>
  <si>
    <t>11:05</t>
  </si>
  <si>
    <t>UIN25000556</t>
  </si>
  <si>
    <t>UIN25000557</t>
  </si>
  <si>
    <t>08:18</t>
  </si>
  <si>
    <t>UIN25000558</t>
  </si>
  <si>
    <t>UIN25000559</t>
  </si>
  <si>
    <t>UIN25000560</t>
  </si>
  <si>
    <t>UIN25000561</t>
  </si>
  <si>
    <t>UIN25000562</t>
  </si>
  <si>
    <t>19:23</t>
  </si>
  <si>
    <t>UIN25000563</t>
  </si>
  <si>
    <t>13:08</t>
  </si>
  <si>
    <t>UIN25000564</t>
  </si>
  <si>
    <t>06:25</t>
  </si>
  <si>
    <t>UIN25000565</t>
  </si>
  <si>
    <t>10:49</t>
  </si>
  <si>
    <t>UIN25000566</t>
  </si>
  <si>
    <t>UIN25000567</t>
  </si>
  <si>
    <t>11:04</t>
  </si>
  <si>
    <t>UIN25000568</t>
  </si>
  <si>
    <t>16:33</t>
  </si>
  <si>
    <t>UIN25000569</t>
  </si>
  <si>
    <t>UIN25000570</t>
  </si>
  <si>
    <t>00:27</t>
  </si>
  <si>
    <t>UIN25000571</t>
  </si>
  <si>
    <t>23:33</t>
  </si>
  <si>
    <t>UIN25000572</t>
  </si>
  <si>
    <t>10:10</t>
  </si>
  <si>
    <t>UIN25000573</t>
  </si>
  <si>
    <t>17:22</t>
  </si>
  <si>
    <t>UIN25000574</t>
  </si>
  <si>
    <t>05:16</t>
  </si>
  <si>
    <t>UIN25000575</t>
  </si>
  <si>
    <t>15:17</t>
  </si>
  <si>
    <t>UIN25000576</t>
  </si>
  <si>
    <t>10:39</t>
  </si>
  <si>
    <t>UIN25000577</t>
  </si>
  <si>
    <t>15:10</t>
  </si>
  <si>
    <t>UIN25000578</t>
  </si>
  <si>
    <t>09:39</t>
  </si>
  <si>
    <t>UIN25000579</t>
  </si>
  <si>
    <t>03:02</t>
  </si>
  <si>
    <t>UIN25000580</t>
  </si>
  <si>
    <t>00:41</t>
  </si>
  <si>
    <t>UIN25000581</t>
  </si>
  <si>
    <t>19:49</t>
  </si>
  <si>
    <t>UIN25000582</t>
  </si>
  <si>
    <t>UIN25000583</t>
  </si>
  <si>
    <t>20:18</t>
  </si>
  <si>
    <t>UIN25000584</t>
  </si>
  <si>
    <t>13:51</t>
  </si>
  <si>
    <t>UIN25000585</t>
  </si>
  <si>
    <t>00:04</t>
  </si>
  <si>
    <t>UIN25000586</t>
  </si>
  <si>
    <t>08:26</t>
  </si>
  <si>
    <t>UIN25000587</t>
  </si>
  <si>
    <t>20:21</t>
  </si>
  <si>
    <t>UIN25000588</t>
  </si>
  <si>
    <t>UIN25000589</t>
  </si>
  <si>
    <t>19:48</t>
  </si>
  <si>
    <t>UIN25000590</t>
  </si>
  <si>
    <t>09:06</t>
  </si>
  <si>
    <t>UIN25000591</t>
  </si>
  <si>
    <t>12:07</t>
  </si>
  <si>
    <t>UIN25000592</t>
  </si>
  <si>
    <t>17:09</t>
  </si>
  <si>
    <t>UIN25000593</t>
  </si>
  <si>
    <t>12:24</t>
  </si>
  <si>
    <t>UIN25000594</t>
  </si>
  <si>
    <t>15:52</t>
  </si>
  <si>
    <t>UIN25000595</t>
  </si>
  <si>
    <t>08:12</t>
  </si>
  <si>
    <t>UIN25000596</t>
  </si>
  <si>
    <t>07:29</t>
  </si>
  <si>
    <t>UIN25000597</t>
  </si>
  <si>
    <t>16:01</t>
  </si>
  <si>
    <t>UIN25000598</t>
  </si>
  <si>
    <t>12:29</t>
  </si>
  <si>
    <t>UIN25000599</t>
  </si>
  <si>
    <t>09:22</t>
  </si>
  <si>
    <t>UIN25000600</t>
  </si>
  <si>
    <t>UIN25000601</t>
  </si>
  <si>
    <t>19:00</t>
  </si>
  <si>
    <t>UIN25000602</t>
  </si>
  <si>
    <t>18:56</t>
  </si>
  <si>
    <t>UIN25000603</t>
  </si>
  <si>
    <t>03:48</t>
  </si>
  <si>
    <t>UIN25000604</t>
  </si>
  <si>
    <t>22:25</t>
  </si>
  <si>
    <t>UIN25000605</t>
  </si>
  <si>
    <t>09:12</t>
  </si>
  <si>
    <t>UIN25000606</t>
  </si>
  <si>
    <t>05:04</t>
  </si>
  <si>
    <t>UIN25000607</t>
  </si>
  <si>
    <t>23:48</t>
  </si>
  <si>
    <t>UIN25000608</t>
  </si>
  <si>
    <t>08:43</t>
  </si>
  <si>
    <t>UIN25000609</t>
  </si>
  <si>
    <t>11:25</t>
  </si>
  <si>
    <t>UIN25000610</t>
  </si>
  <si>
    <t>UIN25000611</t>
  </si>
  <si>
    <t>18:12</t>
  </si>
  <si>
    <t>UIN25000612</t>
  </si>
  <si>
    <t>13:02</t>
  </si>
  <si>
    <t>UIN25000613</t>
  </si>
  <si>
    <t>UIN25000614</t>
  </si>
  <si>
    <t>21:09</t>
  </si>
  <si>
    <t>UIN25000615</t>
  </si>
  <si>
    <t>10:20</t>
  </si>
  <si>
    <t>UIN25000616</t>
  </si>
  <si>
    <t>UIN25000617</t>
  </si>
  <si>
    <t>17:32</t>
  </si>
  <si>
    <t>UIN25000618</t>
  </si>
  <si>
    <t>UIN25000619</t>
  </si>
  <si>
    <t>15:23</t>
  </si>
  <si>
    <t>UIN25000620</t>
  </si>
  <si>
    <t>06:26</t>
  </si>
  <si>
    <t>UIN25000621</t>
  </si>
  <si>
    <t>09:40</t>
  </si>
  <si>
    <t>UIN25000622</t>
  </si>
  <si>
    <t>19:16</t>
  </si>
  <si>
    <t>UIN25000623</t>
  </si>
  <si>
    <t>20:37</t>
  </si>
  <si>
    <t>UIN25000624</t>
  </si>
  <si>
    <t>19:40</t>
  </si>
  <si>
    <t>UIN25000625</t>
  </si>
  <si>
    <t>UIN25000626</t>
  </si>
  <si>
    <t>08:07</t>
  </si>
  <si>
    <t>UIN25000627</t>
  </si>
  <si>
    <t>UIN25000628</t>
  </si>
  <si>
    <t>UIN25000629</t>
  </si>
  <si>
    <t>UIN25000630</t>
  </si>
  <si>
    <t>09:45</t>
  </si>
  <si>
    <t>UIN25000631</t>
  </si>
  <si>
    <t>UIN25000632</t>
  </si>
  <si>
    <t>UIN25000633</t>
  </si>
  <si>
    <t>UIN25000634</t>
  </si>
  <si>
    <t>20:43</t>
  </si>
  <si>
    <t>UIN25000635</t>
  </si>
  <si>
    <t>UIN25000636</t>
  </si>
  <si>
    <t>12:19</t>
  </si>
  <si>
    <t>UIN25000637</t>
  </si>
  <si>
    <t>16:45</t>
  </si>
  <si>
    <t>UIN25000638</t>
  </si>
  <si>
    <t>14:20</t>
  </si>
  <si>
    <t>UIN25000639</t>
  </si>
  <si>
    <t>10:59</t>
  </si>
  <si>
    <t>UIN25000640</t>
  </si>
  <si>
    <t>UIN25000641</t>
  </si>
  <si>
    <t>UIN25000642</t>
  </si>
  <si>
    <t>UIN25000643</t>
  </si>
  <si>
    <t>14:41</t>
  </si>
  <si>
    <t>UIN25000644</t>
  </si>
  <si>
    <t>UIN25000645</t>
  </si>
  <si>
    <t>UIN25000646</t>
  </si>
  <si>
    <t>03:39</t>
  </si>
  <si>
    <t>UIN25000647</t>
  </si>
  <si>
    <t>09:42</t>
  </si>
  <si>
    <t>UIN25000648</t>
  </si>
  <si>
    <t>14:03</t>
  </si>
  <si>
    <t>UIN25000649</t>
  </si>
  <si>
    <t>UIN25000650</t>
  </si>
  <si>
    <t>UIN25000651</t>
  </si>
  <si>
    <t>UIN25000652</t>
  </si>
  <si>
    <t>06:59</t>
  </si>
  <si>
    <t>UIN25000653</t>
  </si>
  <si>
    <t>13:12</t>
  </si>
  <si>
    <t>UIN25000654</t>
  </si>
  <si>
    <t>09:41</t>
  </si>
  <si>
    <t>UIN25000655</t>
  </si>
  <si>
    <t>05:41</t>
  </si>
  <si>
    <t>UIN25000656</t>
  </si>
  <si>
    <t>UIN25000657</t>
  </si>
  <si>
    <t>08:59</t>
  </si>
  <si>
    <t>UIN25000658</t>
  </si>
  <si>
    <t>13:50</t>
  </si>
  <si>
    <t>UIN25000659</t>
  </si>
  <si>
    <t>13:56</t>
  </si>
  <si>
    <t>UIN25000660</t>
  </si>
  <si>
    <t>16:36</t>
  </si>
  <si>
    <t>UIN25000661</t>
  </si>
  <si>
    <t>UIN25000662</t>
  </si>
  <si>
    <t>01:29</t>
  </si>
  <si>
    <t>UIN25000663</t>
  </si>
  <si>
    <t>07:21</t>
  </si>
  <si>
    <t>UIN25000664</t>
  </si>
  <si>
    <t>20:41</t>
  </si>
  <si>
    <t>UIN25000665</t>
  </si>
  <si>
    <t>10:00</t>
  </si>
  <si>
    <t>UIN25000666</t>
  </si>
  <si>
    <t>10:36</t>
  </si>
  <si>
    <t>UIN25000667</t>
  </si>
  <si>
    <t>16:54</t>
  </si>
  <si>
    <t>UIN25000668</t>
  </si>
  <si>
    <t>15:32</t>
  </si>
  <si>
    <t>UIN25000669</t>
  </si>
  <si>
    <t>16:42</t>
  </si>
  <si>
    <t>UIN25000670</t>
  </si>
  <si>
    <t>09:30</t>
  </si>
  <si>
    <t>UIN25000671</t>
  </si>
  <si>
    <t>UIN25000672</t>
  </si>
  <si>
    <t>09:48</t>
  </si>
  <si>
    <t>UIN25000673</t>
  </si>
  <si>
    <t>14:37</t>
  </si>
  <si>
    <t>UIN25000674</t>
  </si>
  <si>
    <t>08:23</t>
  </si>
  <si>
    <t>UIN25000675</t>
  </si>
  <si>
    <t>15:07</t>
  </si>
  <si>
    <t>UIN25000676</t>
  </si>
  <si>
    <t>13:25</t>
  </si>
  <si>
    <t>UIN25000677</t>
  </si>
  <si>
    <t>UIN25000678</t>
  </si>
  <si>
    <t>21:14</t>
  </si>
  <si>
    <t>UIN25000679</t>
  </si>
  <si>
    <t>19:09</t>
  </si>
  <si>
    <t>UIN25000680</t>
  </si>
  <si>
    <t>18:23</t>
  </si>
  <si>
    <t>UIN25000681</t>
  </si>
  <si>
    <t>UIN25000682</t>
  </si>
  <si>
    <t>17:51</t>
  </si>
  <si>
    <t>UIN25000683</t>
  </si>
  <si>
    <t>15:43</t>
  </si>
  <si>
    <t>UIN25000684</t>
  </si>
  <si>
    <t>14:33</t>
  </si>
  <si>
    <t>UIN25000685</t>
  </si>
  <si>
    <t>UIN25000686</t>
  </si>
  <si>
    <t>UIN25000687</t>
  </si>
  <si>
    <t>08:09</t>
  </si>
  <si>
    <t>UIN25000688</t>
  </si>
  <si>
    <t>UIN25000689</t>
  </si>
  <si>
    <t>22:45</t>
  </si>
  <si>
    <t>UIN25000690</t>
  </si>
  <si>
    <t>UIN25000691</t>
  </si>
  <si>
    <t>21:32</t>
  </si>
  <si>
    <t>UIN25000692</t>
  </si>
  <si>
    <t>13:03</t>
  </si>
  <si>
    <t>UIN25000693</t>
  </si>
  <si>
    <t>10:46</t>
  </si>
  <si>
    <t>UIN25000694</t>
  </si>
  <si>
    <t>17:52</t>
  </si>
  <si>
    <t>UIN25000695</t>
  </si>
  <si>
    <t>11:37</t>
  </si>
  <si>
    <t>UIN25000696</t>
  </si>
  <si>
    <t>UIN25000697</t>
  </si>
  <si>
    <t>18:59</t>
  </si>
  <si>
    <t>UIN25000698</t>
  </si>
  <si>
    <t>UIN25000699</t>
  </si>
  <si>
    <t>UIN25000700</t>
  </si>
  <si>
    <t>11:28</t>
  </si>
  <si>
    <t>UIN25000701</t>
  </si>
  <si>
    <t>23:43</t>
  </si>
  <si>
    <t>UIN25000702</t>
  </si>
  <si>
    <t>UIN25000703</t>
  </si>
  <si>
    <t>UIN25000704</t>
  </si>
  <si>
    <t>UIN25000705</t>
  </si>
  <si>
    <t>09:19</t>
  </si>
  <si>
    <t>UIN25000706</t>
  </si>
  <si>
    <t>UIN25000707</t>
  </si>
  <si>
    <t>UIN25000708</t>
  </si>
  <si>
    <t>UIN25000709</t>
  </si>
  <si>
    <t>16:02</t>
  </si>
  <si>
    <t>UIN25000710</t>
  </si>
  <si>
    <t>UIN25000711</t>
  </si>
  <si>
    <t>UIN25000712</t>
  </si>
  <si>
    <t>14:43</t>
  </si>
  <si>
    <t>UIN25000713</t>
  </si>
  <si>
    <t>UIN25000714</t>
  </si>
  <si>
    <t>UIN25000715</t>
  </si>
  <si>
    <t>15:18</t>
  </si>
  <si>
    <t>UIN25000716</t>
  </si>
  <si>
    <t>UIN25000717</t>
  </si>
  <si>
    <t>19:56</t>
  </si>
  <si>
    <t>UIN25000718</t>
  </si>
  <si>
    <t>13:14</t>
  </si>
  <si>
    <t>UIN25000719</t>
  </si>
  <si>
    <t>UIN25000720</t>
  </si>
  <si>
    <t>UIN25000721</t>
  </si>
  <si>
    <t>UIN25000722</t>
  </si>
  <si>
    <t>UIN25000723</t>
  </si>
  <si>
    <t>08:19</t>
  </si>
  <si>
    <t>UIN25000724</t>
  </si>
  <si>
    <t>17:30</t>
  </si>
  <si>
    <t>UIN25000725</t>
  </si>
  <si>
    <t>10:19</t>
  </si>
  <si>
    <t>UIN25000726</t>
  </si>
  <si>
    <t>UIN25000727</t>
  </si>
  <si>
    <t>UIN25000728</t>
  </si>
  <si>
    <t>UIN25000729</t>
  </si>
  <si>
    <t>13:05</t>
  </si>
  <si>
    <t>UIN25000730</t>
  </si>
  <si>
    <t>UIN25000731</t>
  </si>
  <si>
    <t>22:24</t>
  </si>
  <si>
    <t>UIN25000732</t>
  </si>
  <si>
    <t>UIN25000733</t>
  </si>
  <si>
    <t>UIN25000734</t>
  </si>
  <si>
    <t>07:13</t>
  </si>
  <si>
    <t>UIN25000735</t>
  </si>
  <si>
    <t>18:47</t>
  </si>
  <si>
    <t>UIN25000736</t>
  </si>
  <si>
    <t>UIN25000737</t>
  </si>
  <si>
    <t>23:35</t>
  </si>
  <si>
    <t>UIN25000738</t>
  </si>
  <si>
    <t>UIN25000739</t>
  </si>
  <si>
    <t>00:22</t>
  </si>
  <si>
    <t>UIN25000740</t>
  </si>
  <si>
    <t>UIN25000741</t>
  </si>
  <si>
    <t>UIN25000742</t>
  </si>
  <si>
    <t>19:58</t>
  </si>
  <si>
    <t>UIN25000743</t>
  </si>
  <si>
    <t>UIN25000744</t>
  </si>
  <si>
    <t>UIN25000745</t>
  </si>
  <si>
    <t>16:35</t>
  </si>
  <si>
    <t>UIN25000746</t>
  </si>
  <si>
    <t>UIN25000747</t>
  </si>
  <si>
    <t>UIN25000748</t>
  </si>
  <si>
    <t>UIN25000749</t>
  </si>
  <si>
    <t>19:46</t>
  </si>
  <si>
    <t>UIN25000750</t>
  </si>
  <si>
    <t>07:46</t>
  </si>
  <si>
    <t>UIN25000751</t>
  </si>
  <si>
    <t>23:46</t>
  </si>
  <si>
    <t>UIN25000752</t>
  </si>
  <si>
    <t>UIN25000753</t>
  </si>
  <si>
    <t>18:53</t>
  </si>
  <si>
    <t>UIN25000754</t>
  </si>
  <si>
    <t>UIN25000755</t>
  </si>
  <si>
    <t>UIN25000756</t>
  </si>
  <si>
    <t>15:00</t>
  </si>
  <si>
    <t>UIN25000757</t>
  </si>
  <si>
    <t>UIN25000758</t>
  </si>
  <si>
    <t>UIN25000759</t>
  </si>
  <si>
    <t>01:01</t>
  </si>
  <si>
    <t>UIN25000760</t>
  </si>
  <si>
    <t>19:26</t>
  </si>
  <si>
    <t>UIN25000761</t>
  </si>
  <si>
    <t>UIN25000762</t>
  </si>
  <si>
    <t>14:01</t>
  </si>
  <si>
    <t>UIN25000763</t>
  </si>
  <si>
    <t>UIN25000764</t>
  </si>
  <si>
    <t>UIN25000765</t>
  </si>
  <si>
    <t>15:16</t>
  </si>
  <si>
    <t>UIN25000766</t>
  </si>
  <si>
    <t>08:05</t>
  </si>
  <si>
    <t>UIN25000767</t>
  </si>
  <si>
    <t>UIN25000768</t>
  </si>
  <si>
    <t>21:19</t>
  </si>
  <si>
    <t>UIN25000769</t>
  </si>
  <si>
    <t>12:48</t>
  </si>
  <si>
    <t>UIN25000770</t>
  </si>
  <si>
    <t>21:24</t>
  </si>
  <si>
    <t>UIN25000771</t>
  </si>
  <si>
    <t>UIN25000772</t>
  </si>
  <si>
    <t>22:05</t>
  </si>
  <si>
    <t>UIN25000773</t>
  </si>
  <si>
    <t>UIN25000774</t>
  </si>
  <si>
    <t>09:57</t>
  </si>
  <si>
    <t>UIN25000775</t>
  </si>
  <si>
    <t>UIN25000776</t>
  </si>
  <si>
    <t>UIN25000777</t>
  </si>
  <si>
    <t>UIN25000778</t>
  </si>
  <si>
    <t>07:01</t>
  </si>
  <si>
    <t>UIN25000779</t>
  </si>
  <si>
    <t>UIN25000780</t>
  </si>
  <si>
    <t>UIN25000781</t>
  </si>
  <si>
    <t>UIN25000782</t>
  </si>
  <si>
    <t>12:50</t>
  </si>
  <si>
    <t>UIN25000783</t>
  </si>
  <si>
    <t>UIN25000784</t>
  </si>
  <si>
    <t>UIN25000785</t>
  </si>
  <si>
    <t>UIN25000786</t>
  </si>
  <si>
    <t>UIN25000787</t>
  </si>
  <si>
    <t>09:31</t>
  </si>
  <si>
    <t>UIN25000788</t>
  </si>
  <si>
    <t>20:24</t>
  </si>
  <si>
    <t>UIN25000789</t>
  </si>
  <si>
    <t>UIN25000790</t>
  </si>
  <si>
    <t>UIN25000791</t>
  </si>
  <si>
    <t>UIN25000792</t>
  </si>
  <si>
    <t>14:45</t>
  </si>
  <si>
    <t>UIN25000793</t>
  </si>
  <si>
    <t>UIN25000794</t>
  </si>
  <si>
    <t>18:00</t>
  </si>
  <si>
    <t>UIN25000795</t>
  </si>
  <si>
    <t>08:48</t>
  </si>
  <si>
    <t>UIN25000796</t>
  </si>
  <si>
    <t>UIN25000797</t>
  </si>
  <si>
    <t>UIN25000798</t>
  </si>
  <si>
    <t>UIN25000799</t>
  </si>
  <si>
    <t>00:38</t>
  </si>
  <si>
    <t>UIN25000800</t>
  </si>
  <si>
    <t>06:00</t>
  </si>
  <si>
    <t>UIN25000801</t>
  </si>
  <si>
    <t>UIN25000802</t>
  </si>
  <si>
    <t>UIN25000803</t>
  </si>
  <si>
    <t>11:10</t>
  </si>
  <si>
    <t>UIN25000804</t>
  </si>
  <si>
    <t>18:17</t>
  </si>
  <si>
    <t>UIN25000805</t>
  </si>
  <si>
    <t>07:09</t>
  </si>
  <si>
    <t>UIN25000806</t>
  </si>
  <si>
    <t>16:17</t>
  </si>
  <si>
    <t>UIN25000807</t>
  </si>
  <si>
    <t>22:50</t>
  </si>
  <si>
    <t>UIN25000808</t>
  </si>
  <si>
    <t>07:15</t>
  </si>
  <si>
    <t>UIN25000809</t>
  </si>
  <si>
    <t>UIN25000810</t>
  </si>
  <si>
    <t>05:19</t>
  </si>
  <si>
    <t>UIN25000811</t>
  </si>
  <si>
    <t>UIN25000812</t>
  </si>
  <si>
    <t>19:28</t>
  </si>
  <si>
    <t>UIN25000813</t>
  </si>
  <si>
    <t>UIN25000814</t>
  </si>
  <si>
    <t>UIN25000815</t>
  </si>
  <si>
    <t>19:11</t>
  </si>
  <si>
    <t>UIN25000816</t>
  </si>
  <si>
    <t>UIN25000817</t>
  </si>
  <si>
    <t>UIN25000818</t>
  </si>
  <si>
    <t>UIN25000819</t>
  </si>
  <si>
    <t>UIN25000820</t>
  </si>
  <si>
    <t>19:01</t>
  </si>
  <si>
    <t>UIN25000821</t>
  </si>
  <si>
    <t>09:28</t>
  </si>
  <si>
    <t>UIN25000822</t>
  </si>
  <si>
    <t>UIN25000823</t>
  </si>
  <si>
    <t>14:08</t>
  </si>
  <si>
    <t>UIN25000824</t>
  </si>
  <si>
    <t>UIN25000825</t>
  </si>
  <si>
    <t>19:50</t>
  </si>
  <si>
    <t>UIN25000826</t>
  </si>
  <si>
    <t>UIN25000827</t>
  </si>
  <si>
    <t>16:34</t>
  </si>
  <si>
    <t>UIN25000828</t>
  </si>
  <si>
    <t>UIN25000829</t>
  </si>
  <si>
    <t>UIN25000830</t>
  </si>
  <si>
    <t>04:42</t>
  </si>
  <si>
    <t>UIN25000831</t>
  </si>
  <si>
    <t>07:39</t>
  </si>
  <si>
    <t>UIN25000832</t>
  </si>
  <si>
    <t>UIN25000833</t>
  </si>
  <si>
    <t>UIN25000834</t>
  </si>
  <si>
    <t>13:06</t>
  </si>
  <si>
    <t>UIN25000835</t>
  </si>
  <si>
    <t>UIN25000836</t>
  </si>
  <si>
    <t>21:25</t>
  </si>
  <si>
    <t>UIN25000837</t>
  </si>
  <si>
    <t>UIN25000838</t>
  </si>
  <si>
    <t>UIN25000839</t>
  </si>
  <si>
    <t>05:58</t>
  </si>
  <si>
    <t>UIN25000840</t>
  </si>
  <si>
    <t>UIN25000841</t>
  </si>
  <si>
    <t>20:50</t>
  </si>
  <si>
    <t>UIN25000842</t>
  </si>
  <si>
    <t>14:22</t>
  </si>
  <si>
    <t>UIN25000843</t>
  </si>
  <si>
    <t>UIN25000844</t>
  </si>
  <si>
    <t>UIN25000845</t>
  </si>
  <si>
    <t>10:01</t>
  </si>
  <si>
    <t>UIN25000846</t>
  </si>
  <si>
    <t>21:43</t>
  </si>
  <si>
    <t>UIN25000847</t>
  </si>
  <si>
    <t>21:33</t>
  </si>
  <si>
    <t>UIN25000848</t>
  </si>
  <si>
    <t>UIN25000849</t>
  </si>
  <si>
    <t>21:51</t>
  </si>
  <si>
    <t>UIN25000850</t>
  </si>
  <si>
    <t>18:11</t>
  </si>
  <si>
    <t>UIN25000851</t>
  </si>
  <si>
    <t>UIN25000852</t>
  </si>
  <si>
    <t>15:27</t>
  </si>
  <si>
    <t>UIN25000853</t>
  </si>
  <si>
    <t>09:13</t>
  </si>
  <si>
    <t>UIN25000854</t>
  </si>
  <si>
    <t>UIN25000855</t>
  </si>
  <si>
    <t>UIN25000856</t>
  </si>
  <si>
    <t>UIN25000857</t>
  </si>
  <si>
    <t>UIN25000858</t>
  </si>
  <si>
    <t>UIN25000859</t>
  </si>
  <si>
    <t>UIN25000860</t>
  </si>
  <si>
    <t>UIN25000861</t>
  </si>
  <si>
    <t>UIN25000862</t>
  </si>
  <si>
    <t>UIN25000863</t>
  </si>
  <si>
    <t>UIN25000864</t>
  </si>
  <si>
    <t>UIN25000865</t>
  </si>
  <si>
    <t>UIN25000866</t>
  </si>
  <si>
    <t>UIN25000867</t>
  </si>
  <si>
    <t>07:34</t>
  </si>
  <si>
    <t>UIN25000868</t>
  </si>
  <si>
    <t>UIN25000869</t>
  </si>
  <si>
    <t>03:20</t>
  </si>
  <si>
    <t>UIN25000870</t>
  </si>
  <si>
    <t>05:55</t>
  </si>
  <si>
    <t>UIN25000871</t>
  </si>
  <si>
    <t>UIN25000872</t>
  </si>
  <si>
    <t>20:35</t>
  </si>
  <si>
    <t>UIN25000873</t>
  </si>
  <si>
    <t>UIN25000874</t>
  </si>
  <si>
    <t>UIN25000875</t>
  </si>
  <si>
    <t>21:01</t>
  </si>
  <si>
    <t>UIN25000876</t>
  </si>
  <si>
    <t>06:17</t>
  </si>
  <si>
    <t>UIN25000877</t>
  </si>
  <si>
    <t>07:10</t>
  </si>
  <si>
    <t>UIN25000878</t>
  </si>
  <si>
    <t>UIN25000879</t>
  </si>
  <si>
    <t>13:17</t>
  </si>
  <si>
    <t>UIN25000880</t>
  </si>
  <si>
    <t>UIN25000881</t>
  </si>
  <si>
    <t>UIN25000882</t>
  </si>
  <si>
    <t>UIN25000883</t>
  </si>
  <si>
    <t>10:28</t>
  </si>
  <si>
    <t>UIN25000884</t>
  </si>
  <si>
    <t>UIN25000885</t>
  </si>
  <si>
    <t>20:13</t>
  </si>
  <si>
    <t>UIN25000886</t>
  </si>
  <si>
    <t>16:40</t>
  </si>
  <si>
    <t>UIN25000887</t>
  </si>
  <si>
    <t>08:08</t>
  </si>
  <si>
    <t>UIN25000888</t>
  </si>
  <si>
    <t>UIN25000889</t>
  </si>
  <si>
    <t>UIN25000890</t>
  </si>
  <si>
    <t>UIN25000891</t>
  </si>
  <si>
    <t>UIN25000892</t>
  </si>
  <si>
    <t>23:57</t>
  </si>
  <si>
    <t>UIN25000893</t>
  </si>
  <si>
    <t>UIN25000894</t>
  </si>
  <si>
    <t>UIN25000895</t>
  </si>
  <si>
    <t>15:45</t>
  </si>
  <si>
    <t>UIN25000896</t>
  </si>
  <si>
    <t>UIN25000897</t>
  </si>
  <si>
    <t>UIN25000898</t>
  </si>
  <si>
    <t>13:24</t>
  </si>
  <si>
    <t>UIN25000899</t>
  </si>
  <si>
    <t>10:50</t>
  </si>
  <si>
    <t>UIN25000900</t>
  </si>
  <si>
    <t>UIN25000901</t>
  </si>
  <si>
    <t>UIN25000902</t>
  </si>
  <si>
    <t>UIN25000903</t>
  </si>
  <si>
    <t>UIN25000904</t>
  </si>
  <si>
    <t>UIN25000905</t>
  </si>
  <si>
    <t>06:52</t>
  </si>
  <si>
    <t>UIN25000906</t>
  </si>
  <si>
    <t>UIN25000907</t>
  </si>
  <si>
    <t>UIN25000908</t>
  </si>
  <si>
    <t>15:50</t>
  </si>
  <si>
    <t>UIN25000909</t>
  </si>
  <si>
    <t>UIN25000910</t>
  </si>
  <si>
    <t>09:01</t>
  </si>
  <si>
    <t>UIN25000911</t>
  </si>
  <si>
    <t>UIN25000912</t>
  </si>
  <si>
    <t>UIN25000913</t>
  </si>
  <si>
    <t>UIN25000914</t>
  </si>
  <si>
    <t>UIN25000915</t>
  </si>
  <si>
    <t>05:42</t>
  </si>
  <si>
    <t>UIN25000916</t>
  </si>
  <si>
    <t>14:40</t>
  </si>
  <si>
    <t>UIN25000917</t>
  </si>
  <si>
    <t>UIN25000918</t>
  </si>
  <si>
    <t>09:05</t>
  </si>
  <si>
    <t>UIN25000919</t>
  </si>
  <si>
    <t>15:30</t>
  </si>
  <si>
    <t>UIN25000920</t>
  </si>
  <si>
    <t>UIN25000921</t>
  </si>
  <si>
    <t>UIN25000922</t>
  </si>
  <si>
    <t>UIN25000923</t>
  </si>
  <si>
    <t>08:30</t>
  </si>
  <si>
    <t>UIN25000924</t>
  </si>
  <si>
    <t>16:05</t>
  </si>
  <si>
    <t>UIN25000925</t>
  </si>
  <si>
    <t>UIN25000926</t>
  </si>
  <si>
    <t>22:49</t>
  </si>
  <si>
    <t>UIN25000927</t>
  </si>
  <si>
    <t>UIN25000928</t>
  </si>
  <si>
    <t>22:00</t>
  </si>
  <si>
    <t>UIN25000929</t>
  </si>
  <si>
    <t>05:46</t>
  </si>
  <si>
    <t>UIN25000930</t>
  </si>
  <si>
    <t>00:58</t>
  </si>
  <si>
    <t>UIN25000931</t>
  </si>
  <si>
    <t>UIN25000932</t>
  </si>
  <si>
    <t>17:08</t>
  </si>
  <si>
    <t>UIN25000933</t>
  </si>
  <si>
    <t>08:22</t>
  </si>
  <si>
    <t>UIN25000934</t>
  </si>
  <si>
    <t>08:15</t>
  </si>
  <si>
    <t>UIN25000935</t>
  </si>
  <si>
    <t>UIN25000936</t>
  </si>
  <si>
    <t>UIN25000937</t>
  </si>
  <si>
    <t>UIN25000938</t>
  </si>
  <si>
    <t>UIN25000939</t>
  </si>
  <si>
    <t>20:31</t>
  </si>
  <si>
    <t>UIN25000940</t>
  </si>
  <si>
    <t>UIN25000941</t>
  </si>
  <si>
    <t>UIN25000942</t>
  </si>
  <si>
    <t>UIN25000943</t>
  </si>
  <si>
    <t>16:43</t>
  </si>
  <si>
    <t>UIN25000944</t>
  </si>
  <si>
    <t>17:49</t>
  </si>
  <si>
    <t>UIN25000945</t>
  </si>
  <si>
    <t>UIN25000946</t>
  </si>
  <si>
    <t>UIN25000947</t>
  </si>
  <si>
    <t>UIN25000948</t>
  </si>
  <si>
    <t>11:49</t>
  </si>
  <si>
    <t>UIN25000949</t>
  </si>
  <si>
    <t>19:25</t>
  </si>
  <si>
    <t>UIN25000950</t>
  </si>
  <si>
    <t>08:34</t>
  </si>
  <si>
    <t>UIN25000951</t>
  </si>
  <si>
    <t>UIN25000952</t>
  </si>
  <si>
    <t>08:51</t>
  </si>
  <si>
    <t>UIN25000953</t>
  </si>
  <si>
    <t>15:25</t>
  </si>
  <si>
    <t>UIN25000954</t>
  </si>
  <si>
    <t>07:27</t>
  </si>
  <si>
    <t>UIN25000955</t>
  </si>
  <si>
    <t>UIN25000956</t>
  </si>
  <si>
    <t>UIN25000957</t>
  </si>
  <si>
    <t>21:47</t>
  </si>
  <si>
    <t>UIN25000958</t>
  </si>
  <si>
    <t>13:45</t>
  </si>
  <si>
    <t>UIN25000959</t>
  </si>
  <si>
    <t>14:10</t>
  </si>
  <si>
    <t>UIN25000960</t>
  </si>
  <si>
    <t>10:33</t>
  </si>
  <si>
    <t>UIN25000961</t>
  </si>
  <si>
    <t>09:08</t>
  </si>
  <si>
    <t>UIN25000962</t>
  </si>
  <si>
    <t>UIN25000963</t>
  </si>
  <si>
    <t>20:17</t>
  </si>
  <si>
    <t>UIN25000964</t>
  </si>
  <si>
    <t>10:40</t>
  </si>
  <si>
    <t>UIN25000965</t>
  </si>
  <si>
    <t>20:32</t>
  </si>
  <si>
    <t>UIN25000966</t>
  </si>
  <si>
    <t>22:54</t>
  </si>
  <si>
    <t>UIN25000967</t>
  </si>
  <si>
    <t>12:16</t>
  </si>
  <si>
    <t>UIN25000968</t>
  </si>
  <si>
    <t>UIN25000969</t>
  </si>
  <si>
    <t>12:00</t>
  </si>
  <si>
    <t>UIN25000970</t>
  </si>
  <si>
    <t>02:15</t>
  </si>
  <si>
    <t>UIN25000971</t>
  </si>
  <si>
    <t>UIN25000972</t>
  </si>
  <si>
    <t>00:35</t>
  </si>
  <si>
    <t>UIN25000973</t>
  </si>
  <si>
    <t>UIN25000974</t>
  </si>
  <si>
    <t>UIN25000975</t>
  </si>
  <si>
    <t>UIN25000976</t>
  </si>
  <si>
    <t>23:51</t>
  </si>
  <si>
    <t>UIN25000977</t>
  </si>
  <si>
    <t>22:56</t>
  </si>
  <si>
    <t>UIN25000978</t>
  </si>
  <si>
    <t>UIN25000979</t>
  </si>
  <si>
    <t>UIN25000980</t>
  </si>
  <si>
    <t>17:12</t>
  </si>
  <si>
    <t>UIN25000981</t>
  </si>
  <si>
    <t>UIN25000982</t>
  </si>
  <si>
    <t>15:37</t>
  </si>
  <si>
    <t>UIN25000983</t>
  </si>
  <si>
    <t>18:46</t>
  </si>
  <si>
    <t>UIN25000984</t>
  </si>
  <si>
    <t>11:59</t>
  </si>
  <si>
    <t>UIN25000985</t>
  </si>
  <si>
    <t>12:34</t>
  </si>
  <si>
    <t>UIN25000986</t>
  </si>
  <si>
    <t>UIN25000987</t>
  </si>
  <si>
    <t>UIN25000988</t>
  </si>
  <si>
    <t>23:06</t>
  </si>
  <si>
    <t>UIN25000989</t>
  </si>
  <si>
    <t>UIN25000990</t>
  </si>
  <si>
    <t>UIN25000991</t>
  </si>
  <si>
    <t>UIN25000992</t>
  </si>
  <si>
    <t>UIN25000993</t>
  </si>
  <si>
    <t>UIN25000994</t>
  </si>
  <si>
    <t>UIN25000995</t>
  </si>
  <si>
    <t>UIN25000996</t>
  </si>
  <si>
    <t>05:08</t>
  </si>
  <si>
    <t>UIN25000997</t>
  </si>
  <si>
    <t>UIN25000998</t>
  </si>
  <si>
    <t>13:44</t>
  </si>
  <si>
    <t>UIN25000999</t>
  </si>
  <si>
    <t>UIN25001000</t>
  </si>
  <si>
    <t>22:08</t>
  </si>
  <si>
    <t>UIN25001001</t>
  </si>
  <si>
    <t>06:10</t>
  </si>
  <si>
    <t>UIN25001002</t>
  </si>
  <si>
    <t>10:26</t>
  </si>
  <si>
    <t>UIN25001003</t>
  </si>
  <si>
    <t>UIN25001004</t>
  </si>
  <si>
    <t>14:29</t>
  </si>
  <si>
    <t>UIN25001005</t>
  </si>
  <si>
    <t>UIN25001006</t>
  </si>
  <si>
    <t>07:19</t>
  </si>
  <si>
    <t>UIN25001007</t>
  </si>
  <si>
    <t>UIN25001008</t>
  </si>
  <si>
    <t>06:22</t>
  </si>
  <si>
    <t>UIN25001009</t>
  </si>
  <si>
    <t>UIN25001010</t>
  </si>
  <si>
    <t>UIN25001011</t>
  </si>
  <si>
    <t>14:35</t>
  </si>
  <si>
    <t>UIN25001012</t>
  </si>
  <si>
    <t>UIN25001013</t>
  </si>
  <si>
    <t>08:03</t>
  </si>
  <si>
    <t>UIN25001014</t>
  </si>
  <si>
    <t>12:52</t>
  </si>
  <si>
    <t>UIN25001015</t>
  </si>
  <si>
    <t>07:40</t>
  </si>
  <si>
    <t>UIN25001016</t>
  </si>
  <si>
    <t>09:16</t>
  </si>
  <si>
    <t>UIN25001017</t>
  </si>
  <si>
    <t>10:12</t>
  </si>
  <si>
    <t>UIN25001018</t>
  </si>
  <si>
    <t>UIN25001019</t>
  </si>
  <si>
    <t>UIN25001020</t>
  </si>
  <si>
    <t>UIN25001021</t>
  </si>
  <si>
    <t>UIN25001022</t>
  </si>
  <si>
    <t>02:13</t>
  </si>
  <si>
    <t>UIN25001023</t>
  </si>
  <si>
    <t>18:28</t>
  </si>
  <si>
    <t>UIN25001024</t>
  </si>
  <si>
    <t>13:39</t>
  </si>
  <si>
    <t>UIN25001025</t>
  </si>
  <si>
    <t>UIN25001026</t>
  </si>
  <si>
    <t>UIN25001027</t>
  </si>
  <si>
    <t>UIN25001028</t>
  </si>
  <si>
    <t>05:56</t>
  </si>
  <si>
    <t>UIN25001029</t>
  </si>
  <si>
    <t>18:50</t>
  </si>
  <si>
    <t>UIN25001030</t>
  </si>
  <si>
    <t>UIN25001031</t>
  </si>
  <si>
    <t>00:32</t>
  </si>
  <si>
    <t>UIN25001032</t>
  </si>
  <si>
    <t>UIN25001033</t>
  </si>
  <si>
    <t>06:14</t>
  </si>
  <si>
    <t>UIN25001034</t>
  </si>
  <si>
    <t>09:03</t>
  </si>
  <si>
    <t>UIN25001035</t>
  </si>
  <si>
    <t>UIN25001036</t>
  </si>
  <si>
    <t>UIN25001037</t>
  </si>
  <si>
    <t>21:52</t>
  </si>
  <si>
    <t>UIN25001038</t>
  </si>
  <si>
    <t>14:36</t>
  </si>
  <si>
    <t>UIN25001039</t>
  </si>
  <si>
    <t>04:11</t>
  </si>
  <si>
    <t>UIN25001040</t>
  </si>
  <si>
    <t>UIN25001041</t>
  </si>
  <si>
    <t>23:45</t>
  </si>
  <si>
    <t>UIN25001042</t>
  </si>
  <si>
    <t>06:09</t>
  </si>
  <si>
    <t>UIN25001043</t>
  </si>
  <si>
    <t>03:34</t>
  </si>
  <si>
    <t>UIN25001044</t>
  </si>
  <si>
    <t>07:02</t>
  </si>
  <si>
    <t>UIN25001045</t>
  </si>
  <si>
    <t>15:38</t>
  </si>
  <si>
    <t>UIN25001046</t>
  </si>
  <si>
    <t>11:30</t>
  </si>
  <si>
    <t>UIN25001047</t>
  </si>
  <si>
    <t>UIN25001048</t>
  </si>
  <si>
    <t>UIN25001049</t>
  </si>
  <si>
    <t>01:09</t>
  </si>
  <si>
    <t>UIN25001050</t>
  </si>
  <si>
    <t>14:54</t>
  </si>
  <si>
    <t>UIN25001051</t>
  </si>
  <si>
    <t>21:45</t>
  </si>
  <si>
    <t>UIN25001052</t>
  </si>
  <si>
    <t>01:21</t>
  </si>
  <si>
    <t>UIN25001053</t>
  </si>
  <si>
    <t>UIN25001054</t>
  </si>
  <si>
    <t>UIN25001055</t>
  </si>
  <si>
    <t>07:44</t>
  </si>
  <si>
    <t>UIN25001056</t>
  </si>
  <si>
    <t>UIN25001057</t>
  </si>
  <si>
    <t>08:46</t>
  </si>
  <si>
    <t>UIN25001058</t>
  </si>
  <si>
    <t>UIN25001059</t>
  </si>
  <si>
    <t>09:25</t>
  </si>
  <si>
    <t>UIN25001060</t>
  </si>
  <si>
    <t>13:20</t>
  </si>
  <si>
    <t>UIN25001061</t>
  </si>
  <si>
    <t>19:06</t>
  </si>
  <si>
    <t>UIN25001062</t>
  </si>
  <si>
    <t>09:47</t>
  </si>
  <si>
    <t>UIN25001063</t>
  </si>
  <si>
    <t>06:20</t>
  </si>
  <si>
    <t>UIN25001064</t>
  </si>
  <si>
    <t>UIN25001065</t>
  </si>
  <si>
    <t>06:16</t>
  </si>
  <si>
    <t>UIN25001066</t>
  </si>
  <si>
    <t>UIN25001067</t>
  </si>
  <si>
    <t>UIN25001068</t>
  </si>
  <si>
    <t>UIN25001069</t>
  </si>
  <si>
    <t>12:31</t>
  </si>
  <si>
    <t>UIN25001070</t>
  </si>
  <si>
    <t>07:24</t>
  </si>
  <si>
    <t>UIN25001071</t>
  </si>
  <si>
    <t>21:50</t>
  </si>
  <si>
    <t>UIN25001072</t>
  </si>
  <si>
    <t>20:04</t>
  </si>
  <si>
    <t>UIN25001073</t>
  </si>
  <si>
    <t>18:20</t>
  </si>
  <si>
    <t>UIN25001074</t>
  </si>
  <si>
    <t>19:21</t>
  </si>
  <si>
    <t>UIN25001075</t>
  </si>
  <si>
    <t>03:46</t>
  </si>
  <si>
    <t>UIN25001076</t>
  </si>
  <si>
    <t>15:21</t>
  </si>
  <si>
    <t>UIN25001077</t>
  </si>
  <si>
    <t>18:27</t>
  </si>
  <si>
    <t>UIN25001078</t>
  </si>
  <si>
    <t>UIN25001079</t>
  </si>
  <si>
    <t>UIN25001080</t>
  </si>
  <si>
    <t>UIN25001081</t>
  </si>
  <si>
    <t>11:19</t>
  </si>
  <si>
    <t>UIN25001082</t>
  </si>
  <si>
    <t>UIN25001083</t>
  </si>
  <si>
    <t>UIN25001084</t>
  </si>
  <si>
    <t>11:18</t>
  </si>
  <si>
    <t>UIN25001085</t>
  </si>
  <si>
    <t>UIN25001086</t>
  </si>
  <si>
    <t>10:18</t>
  </si>
  <si>
    <t>UIN25001087</t>
  </si>
  <si>
    <t>06:19</t>
  </si>
  <si>
    <t>UIN25001088</t>
  </si>
  <si>
    <t>UIN25001089</t>
  </si>
  <si>
    <t>UIN25001090</t>
  </si>
  <si>
    <t>UIN25001091</t>
  </si>
  <si>
    <t>20:28</t>
  </si>
  <si>
    <t>UIN25001092</t>
  </si>
  <si>
    <t>UIN25001093</t>
  </si>
  <si>
    <t>UIN25001094</t>
  </si>
  <si>
    <t>UIN25001095</t>
  </si>
  <si>
    <t>07:22</t>
  </si>
  <si>
    <t>UIN25001096</t>
  </si>
  <si>
    <t>18:14</t>
  </si>
  <si>
    <t>UIN25001097</t>
  </si>
  <si>
    <t>UIN25001098</t>
  </si>
  <si>
    <t>00:55</t>
  </si>
  <si>
    <t>UIN25001099</t>
  </si>
  <si>
    <t>21:30</t>
  </si>
  <si>
    <t>UIN25001100</t>
  </si>
  <si>
    <t>14:57</t>
  </si>
  <si>
    <t>UIN25001101</t>
  </si>
  <si>
    <t>07:57</t>
  </si>
  <si>
    <t>UIN25001102</t>
  </si>
  <si>
    <t>15:11</t>
  </si>
  <si>
    <t>UIN25001103</t>
  </si>
  <si>
    <t>19:08</t>
  </si>
  <si>
    <t>UIN25001104</t>
  </si>
  <si>
    <t>UIN25001105</t>
  </si>
  <si>
    <t>UIN25001106</t>
  </si>
  <si>
    <t>UIN25001107</t>
  </si>
  <si>
    <t>UIN25001108</t>
  </si>
  <si>
    <t>UIN25001109</t>
  </si>
  <si>
    <t>UIN25001110</t>
  </si>
  <si>
    <t>UIN25001111</t>
  </si>
  <si>
    <t>02:37</t>
  </si>
  <si>
    <t>UIN25001112</t>
  </si>
  <si>
    <t>06:49</t>
  </si>
  <si>
    <t>UIN25001113</t>
  </si>
  <si>
    <t>06:55</t>
  </si>
  <si>
    <t>UIN25001114</t>
  </si>
  <si>
    <t>15:24</t>
  </si>
  <si>
    <t>UIN25001115</t>
  </si>
  <si>
    <t>UIN25001116</t>
  </si>
  <si>
    <t>UIN25001117</t>
  </si>
  <si>
    <t>UIN25001118</t>
  </si>
  <si>
    <t>UIN25001119</t>
  </si>
  <si>
    <t>UIN25001120</t>
  </si>
  <si>
    <t>UIN25001121</t>
  </si>
  <si>
    <t>UIN25001122</t>
  </si>
  <si>
    <t>17:54</t>
  </si>
  <si>
    <t>UIN25001123</t>
  </si>
  <si>
    <t>04:08</t>
  </si>
  <si>
    <t>UIN25001124</t>
  </si>
  <si>
    <t>UIN25001125</t>
  </si>
  <si>
    <t>UIN25001126</t>
  </si>
  <si>
    <t>UIN25001127</t>
  </si>
  <si>
    <t>UIN25001128</t>
  </si>
  <si>
    <t>14:32</t>
  </si>
  <si>
    <t>UIN25001129</t>
  </si>
  <si>
    <t>UIN25001130</t>
  </si>
  <si>
    <t>UIN25001131</t>
  </si>
  <si>
    <t>17:56</t>
  </si>
  <si>
    <t>UIN25001132</t>
  </si>
  <si>
    <t>UIN25001133</t>
  </si>
  <si>
    <t>UIN25001134</t>
  </si>
  <si>
    <t>UIN25001135</t>
  </si>
  <si>
    <t>09:32</t>
  </si>
  <si>
    <t>UIN25001136</t>
  </si>
  <si>
    <t>UIN25001137</t>
  </si>
  <si>
    <t>UIN25001138</t>
  </si>
  <si>
    <t>07:37</t>
  </si>
  <si>
    <t>UIN25001139</t>
  </si>
  <si>
    <t>UIN25001140</t>
  </si>
  <si>
    <t>UIN25001141</t>
  </si>
  <si>
    <t>06:03</t>
  </si>
  <si>
    <t>UIN25001142</t>
  </si>
  <si>
    <t>UIN25001143</t>
  </si>
  <si>
    <t>18:41</t>
  </si>
  <si>
    <t>UIN25001144</t>
  </si>
  <si>
    <t>UIN25001145</t>
  </si>
  <si>
    <t>UIN25001146</t>
  </si>
  <si>
    <t>03:41</t>
  </si>
  <si>
    <t>UIN25001147</t>
  </si>
  <si>
    <t>16:14</t>
  </si>
  <si>
    <t>UIN25001148</t>
  </si>
  <si>
    <t>06:45</t>
  </si>
  <si>
    <t>UIN25001149</t>
  </si>
  <si>
    <t>UIN25001150</t>
  </si>
  <si>
    <t>UIN25001151</t>
  </si>
  <si>
    <t>17:33</t>
  </si>
  <si>
    <t>UIN25001152</t>
  </si>
  <si>
    <t>11:00</t>
  </si>
  <si>
    <t>UIN25001153</t>
  </si>
  <si>
    <t>UIN25001154</t>
  </si>
  <si>
    <t>UIN25001155</t>
  </si>
  <si>
    <t>UIN25001156</t>
  </si>
  <si>
    <t>UIN25001157</t>
  </si>
  <si>
    <t>UIN25001158</t>
  </si>
  <si>
    <t>UIN25001159</t>
  </si>
  <si>
    <t>UIN25001160</t>
  </si>
  <si>
    <t>17:18</t>
  </si>
  <si>
    <t>UIN25001161</t>
  </si>
  <si>
    <t>UIN25001162</t>
  </si>
  <si>
    <t>UIN25001163</t>
  </si>
  <si>
    <t>UIN25001164</t>
  </si>
  <si>
    <t>11:32</t>
  </si>
  <si>
    <t>UIN25001165</t>
  </si>
  <si>
    <t>UIN25001166</t>
  </si>
  <si>
    <t>UIN25001167</t>
  </si>
  <si>
    <t>UIN25001168</t>
  </si>
  <si>
    <t>UIN25001169</t>
  </si>
  <si>
    <t>19:14</t>
  </si>
  <si>
    <t>UIN25001170</t>
  </si>
  <si>
    <t>11:23</t>
  </si>
  <si>
    <t>UIN25001171</t>
  </si>
  <si>
    <t>UIN25001172</t>
  </si>
  <si>
    <t>UIN25001173</t>
  </si>
  <si>
    <t>UIN25001174</t>
  </si>
  <si>
    <t>UIN25001175</t>
  </si>
  <si>
    <t>21:55</t>
  </si>
  <si>
    <t>UIN25001176</t>
  </si>
  <si>
    <t>UIN25001177</t>
  </si>
  <si>
    <t>UIN25001178</t>
  </si>
  <si>
    <t>UIN25001179</t>
  </si>
  <si>
    <t>UIN25001180</t>
  </si>
  <si>
    <t>UIN25001181</t>
  </si>
  <si>
    <t>UIN25001182</t>
  </si>
  <si>
    <t>UIN25001183</t>
  </si>
  <si>
    <t>21:27</t>
  </si>
  <si>
    <t>UIN25001184</t>
  </si>
  <si>
    <t>12:30</t>
  </si>
  <si>
    <t>UIN25001185</t>
  </si>
  <si>
    <t>UIN25001186</t>
  </si>
  <si>
    <t>20:00</t>
  </si>
  <si>
    <t>UIN25001187</t>
  </si>
  <si>
    <t>19:12</t>
  </si>
  <si>
    <t>UIN25001188</t>
  </si>
  <si>
    <t>UIN25001189</t>
  </si>
  <si>
    <t>UIN25001190</t>
  </si>
  <si>
    <t>UIN25001191</t>
  </si>
  <si>
    <t>UIN25001192</t>
  </si>
  <si>
    <t>UIN25001193</t>
  </si>
  <si>
    <t>11:38</t>
  </si>
  <si>
    <t>UIN25001194</t>
  </si>
  <si>
    <t>UIN25001195</t>
  </si>
  <si>
    <t>UIN25001196</t>
  </si>
  <si>
    <t>UIN25001197</t>
  </si>
  <si>
    <t>17:13</t>
  </si>
  <si>
    <t>UIN25001198</t>
  </si>
  <si>
    <t>19:10</t>
  </si>
  <si>
    <t>UIN25001199</t>
  </si>
  <si>
    <t>UIN25001200</t>
  </si>
  <si>
    <t>May</t>
  </si>
  <si>
    <t>June</t>
  </si>
  <si>
    <t>July</t>
  </si>
  <si>
    <t>August</t>
  </si>
  <si>
    <t>Average of Trip_Duration_min</t>
  </si>
  <si>
    <t>Average of Distance_km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</si>
</sst>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quot;Km&quot;"/>
    <numFmt numFmtId="165" formatCode="&quot;₹&quot;\ #,##0"/>
    <numFmt numFmtId="166" formatCode="0&quot;Min&quot;"/>
  </numFmts>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3"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33" borderId="0" xfId="0" applyFill="1"/>
    <xf numFmtId="0" fontId="0" fillId="33" borderId="14" xfId="0" applyFill="1" applyBorder="1"/>
    <xf numFmtId="0" fontId="0" fillId="33" borderId="15" xfId="0" applyFill="1" applyBorder="1"/>
    <xf numFmtId="0" fontId="0" fillId="33" borderId="16" xfId="0" applyFill="1" applyBorder="1"/>
    <xf numFmtId="0" fontId="0" fillId="33" borderId="17" xfId="0" applyFill="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166" fontId="0" fillId="0" borderId="0" xfId="0" applyNumberFormat="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name val="Times New Roman"/>
        <scheme val="none"/>
      </font>
      <fill>
        <patternFill>
          <bgColor theme="2"/>
        </patternFill>
      </fill>
      <border diagonalUp="0" diagonalDown="0">
        <left/>
        <right/>
        <top/>
        <bottom/>
        <vertical/>
        <horizontal/>
      </border>
    </dxf>
    <dxf>
      <font>
        <b/>
        <i val="0"/>
      </font>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1" xr9:uid="{00000000-0011-0000-FFFF-FFFF00000000}">
      <tableStyleElement type="wholeTable" dxfId="1"/>
    </tableStyle>
    <tableStyle name="Slicer Style 2" pivot="0" table="0" count="1" xr9:uid="{00000000-0011-0000-FFFF-FFFF01000000}">
      <tableStyleElement type="wholeTable" dxfId="0"/>
    </tableStyle>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Analysis!PivotTable14</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Analysis'!$A$2:$A$8</c:f>
              <c:strCache>
                <c:ptCount val="6"/>
                <c:pt idx="0">
                  <c:v>Uber Auto</c:v>
                </c:pt>
                <c:pt idx="1">
                  <c:v>Uber Black</c:v>
                </c:pt>
                <c:pt idx="2">
                  <c:v>Uber Comfort</c:v>
                </c:pt>
                <c:pt idx="3">
                  <c:v>Uber Green</c:v>
                </c:pt>
                <c:pt idx="4">
                  <c:v>UberX</c:v>
                </c:pt>
                <c:pt idx="5">
                  <c:v>UberXL</c:v>
                </c:pt>
              </c:strCache>
            </c:strRef>
          </c:cat>
          <c:val>
            <c:numRef>
              <c:f>'Vehicle Analysis'!$B$2:$B$8</c:f>
              <c:numCache>
                <c:formatCode>General</c:formatCode>
                <c:ptCount val="6"/>
                <c:pt idx="0">
                  <c:v>26</c:v>
                </c:pt>
                <c:pt idx="1">
                  <c:v>7</c:v>
                </c:pt>
                <c:pt idx="2">
                  <c:v>16</c:v>
                </c:pt>
                <c:pt idx="3">
                  <c:v>9</c:v>
                </c:pt>
                <c:pt idx="4">
                  <c:v>33</c:v>
                </c:pt>
                <c:pt idx="5">
                  <c:v>17</c:v>
                </c:pt>
              </c:numCache>
            </c:numRef>
          </c:val>
          <c:extLst>
            <c:ext xmlns:c16="http://schemas.microsoft.com/office/drawing/2014/chart" uri="{C3380CC4-5D6E-409C-BE32-E72D297353CC}">
              <c16:uniqueId val="{00000002-57FD-431A-946C-2FFD5CD55816}"/>
            </c:ext>
          </c:extLst>
        </c:ser>
        <c:dLbls>
          <c:showLegendKey val="0"/>
          <c:showVal val="1"/>
          <c:showCatName val="0"/>
          <c:showSerName val="0"/>
          <c:showPercent val="0"/>
          <c:showBubbleSize val="0"/>
        </c:dLbls>
        <c:gapWidth val="182"/>
        <c:axId val="128226048"/>
        <c:axId val="128227584"/>
      </c:barChart>
      <c:catAx>
        <c:axId val="1282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7584"/>
        <c:crosses val="autoZero"/>
        <c:auto val="1"/>
        <c:lblAlgn val="ctr"/>
        <c:lblOffset val="100"/>
        <c:noMultiLvlLbl val="0"/>
      </c:catAx>
      <c:valAx>
        <c:axId val="128227584"/>
        <c:scaling>
          <c:orientation val="minMax"/>
        </c:scaling>
        <c:delete val="1"/>
        <c:axPos val="b"/>
        <c:numFmt formatCode="General" sourceLinked="1"/>
        <c:majorTickMark val="none"/>
        <c:minorTickMark val="none"/>
        <c:tickLblPos val="nextTo"/>
        <c:crossAx val="128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Analysis!PivotTable15</c:name>
    <c:fmtId val="0"/>
  </c:pivotSource>
  <c:chart>
    <c:autoTitleDeleted val="1"/>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Analysis'!$B$10</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Analysis'!$A$11:$A$17</c:f>
              <c:strCache>
                <c:ptCount val="6"/>
                <c:pt idx="0">
                  <c:v>Uber Auto</c:v>
                </c:pt>
                <c:pt idx="1">
                  <c:v>Uber Black</c:v>
                </c:pt>
                <c:pt idx="2">
                  <c:v>Uber Comfort</c:v>
                </c:pt>
                <c:pt idx="3">
                  <c:v>Uber Green</c:v>
                </c:pt>
                <c:pt idx="4">
                  <c:v>UberX</c:v>
                </c:pt>
                <c:pt idx="5">
                  <c:v>UberXL</c:v>
                </c:pt>
              </c:strCache>
            </c:strRef>
          </c:cat>
          <c:val>
            <c:numRef>
              <c:f>'Vehicle Analysis'!$B$11:$B$17</c:f>
              <c:numCache>
                <c:formatCode>General</c:formatCode>
                <c:ptCount val="6"/>
                <c:pt idx="0">
                  <c:v>106.19999999999999</c:v>
                </c:pt>
                <c:pt idx="1">
                  <c:v>49.199999999999996</c:v>
                </c:pt>
                <c:pt idx="2">
                  <c:v>98.399999999999991</c:v>
                </c:pt>
                <c:pt idx="3">
                  <c:v>91.799999999999983</c:v>
                </c:pt>
                <c:pt idx="4">
                  <c:v>246.50000000000006</c:v>
                </c:pt>
                <c:pt idx="5">
                  <c:v>110</c:v>
                </c:pt>
              </c:numCache>
            </c:numRef>
          </c:val>
          <c:extLst>
            <c:ext xmlns:c16="http://schemas.microsoft.com/office/drawing/2014/chart" uri="{C3380CC4-5D6E-409C-BE32-E72D297353CC}">
              <c16:uniqueId val="{00000000-BF4B-4D4F-A205-0B3A67065B68}"/>
            </c:ext>
          </c:extLst>
        </c:ser>
        <c:dLbls>
          <c:showLegendKey val="0"/>
          <c:showVal val="1"/>
          <c:showCatName val="0"/>
          <c:showSerName val="0"/>
          <c:showPercent val="0"/>
          <c:showBubbleSize val="0"/>
        </c:dLbls>
        <c:gapWidth val="182"/>
        <c:axId val="128625280"/>
        <c:axId val="128631168"/>
      </c:barChart>
      <c:catAx>
        <c:axId val="128625280"/>
        <c:scaling>
          <c:orientation val="minMax"/>
        </c:scaling>
        <c:delete val="1"/>
        <c:axPos val="l"/>
        <c:numFmt formatCode="General" sourceLinked="1"/>
        <c:majorTickMark val="none"/>
        <c:minorTickMark val="none"/>
        <c:tickLblPos val="nextTo"/>
        <c:crossAx val="128631168"/>
        <c:crosses val="autoZero"/>
        <c:auto val="1"/>
        <c:lblAlgn val="ctr"/>
        <c:lblOffset val="100"/>
        <c:noMultiLvlLbl val="0"/>
      </c:catAx>
      <c:valAx>
        <c:axId val="128631168"/>
        <c:scaling>
          <c:orientation val="minMax"/>
        </c:scaling>
        <c:delete val="1"/>
        <c:axPos val="b"/>
        <c:numFmt formatCode="General" sourceLinked="1"/>
        <c:majorTickMark val="none"/>
        <c:minorTickMark val="none"/>
        <c:tickLblPos val="nextTo"/>
        <c:crossAx val="12862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Analysis!PivotTable16</c:name>
    <c:fmtId val="0"/>
  </c:pivotSource>
  <c:chart>
    <c:autoTitleDeleted val="1"/>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Analysis'!$B$19</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Analysis'!$A$20:$A$26</c:f>
              <c:strCache>
                <c:ptCount val="6"/>
                <c:pt idx="0">
                  <c:v>Uber Auto</c:v>
                </c:pt>
                <c:pt idx="1">
                  <c:v>Uber Black</c:v>
                </c:pt>
                <c:pt idx="2">
                  <c:v>Uber Comfort</c:v>
                </c:pt>
                <c:pt idx="3">
                  <c:v>Uber Green</c:v>
                </c:pt>
                <c:pt idx="4">
                  <c:v>UberX</c:v>
                </c:pt>
                <c:pt idx="5">
                  <c:v>UberXL</c:v>
                </c:pt>
              </c:strCache>
            </c:strRef>
          </c:cat>
          <c:val>
            <c:numRef>
              <c:f>'Vehicle Analysis'!$B$20:$B$26</c:f>
              <c:numCache>
                <c:formatCode>General</c:formatCode>
                <c:ptCount val="6"/>
                <c:pt idx="0">
                  <c:v>2542</c:v>
                </c:pt>
                <c:pt idx="1">
                  <c:v>2752</c:v>
                </c:pt>
                <c:pt idx="2">
                  <c:v>3964</c:v>
                </c:pt>
                <c:pt idx="3">
                  <c:v>2575</c:v>
                </c:pt>
                <c:pt idx="4">
                  <c:v>6605</c:v>
                </c:pt>
                <c:pt idx="5">
                  <c:v>4115</c:v>
                </c:pt>
              </c:numCache>
            </c:numRef>
          </c:val>
          <c:extLst>
            <c:ext xmlns:c16="http://schemas.microsoft.com/office/drawing/2014/chart" uri="{C3380CC4-5D6E-409C-BE32-E72D297353CC}">
              <c16:uniqueId val="{00000000-05F0-432B-938E-772CEBD719E7}"/>
            </c:ext>
          </c:extLst>
        </c:ser>
        <c:dLbls>
          <c:showLegendKey val="0"/>
          <c:showVal val="1"/>
          <c:showCatName val="0"/>
          <c:showSerName val="0"/>
          <c:showPercent val="0"/>
          <c:showBubbleSize val="0"/>
        </c:dLbls>
        <c:gapWidth val="182"/>
        <c:axId val="127951232"/>
        <c:axId val="127952768"/>
      </c:barChart>
      <c:catAx>
        <c:axId val="127951232"/>
        <c:scaling>
          <c:orientation val="minMax"/>
        </c:scaling>
        <c:delete val="1"/>
        <c:axPos val="l"/>
        <c:numFmt formatCode="General" sourceLinked="1"/>
        <c:majorTickMark val="out"/>
        <c:minorTickMark val="none"/>
        <c:tickLblPos val="nextTo"/>
        <c:crossAx val="127952768"/>
        <c:crosses val="autoZero"/>
        <c:auto val="1"/>
        <c:lblAlgn val="ctr"/>
        <c:lblOffset val="100"/>
        <c:noMultiLvlLbl val="0"/>
      </c:catAx>
      <c:valAx>
        <c:axId val="127952768"/>
        <c:scaling>
          <c:orientation val="minMax"/>
        </c:scaling>
        <c:delete val="1"/>
        <c:axPos val="b"/>
        <c:numFmt formatCode="General" sourceLinked="1"/>
        <c:majorTickMark val="none"/>
        <c:minorTickMark val="none"/>
        <c:tickLblPos val="nextTo"/>
        <c:crossAx val="12795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Analysis!PivotTable17</c:name>
    <c:fmtId val="0"/>
  </c:pivotSource>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Analysis'!$B$28</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Analysis'!$A$29:$A$35</c:f>
              <c:strCache>
                <c:ptCount val="6"/>
                <c:pt idx="0">
                  <c:v>Uber Auto</c:v>
                </c:pt>
                <c:pt idx="1">
                  <c:v>Uber Black</c:v>
                </c:pt>
                <c:pt idx="2">
                  <c:v>Uber Comfort</c:v>
                </c:pt>
                <c:pt idx="3">
                  <c:v>Uber Green</c:v>
                </c:pt>
                <c:pt idx="4">
                  <c:v>UberX</c:v>
                </c:pt>
                <c:pt idx="5">
                  <c:v>UberXL</c:v>
                </c:pt>
              </c:strCache>
            </c:strRef>
          </c:cat>
          <c:val>
            <c:numRef>
              <c:f>'Vehicle Analysis'!$B$29:$B$35</c:f>
              <c:numCache>
                <c:formatCode>General</c:formatCode>
                <c:ptCount val="6"/>
                <c:pt idx="0">
                  <c:v>97.769230769230774</c:v>
                </c:pt>
                <c:pt idx="1">
                  <c:v>393.14285714285717</c:v>
                </c:pt>
                <c:pt idx="2">
                  <c:v>247.75</c:v>
                </c:pt>
                <c:pt idx="3">
                  <c:v>286.11111111111109</c:v>
                </c:pt>
                <c:pt idx="4">
                  <c:v>200.15151515151516</c:v>
                </c:pt>
                <c:pt idx="5">
                  <c:v>242.05882352941177</c:v>
                </c:pt>
              </c:numCache>
            </c:numRef>
          </c:val>
          <c:extLst>
            <c:ext xmlns:c16="http://schemas.microsoft.com/office/drawing/2014/chart" uri="{C3380CC4-5D6E-409C-BE32-E72D297353CC}">
              <c16:uniqueId val="{00000000-424F-4A32-9382-0F8EBE8799DB}"/>
            </c:ext>
          </c:extLst>
        </c:ser>
        <c:dLbls>
          <c:showLegendKey val="0"/>
          <c:showVal val="1"/>
          <c:showCatName val="0"/>
          <c:showSerName val="0"/>
          <c:showPercent val="0"/>
          <c:showBubbleSize val="0"/>
        </c:dLbls>
        <c:gapWidth val="100"/>
        <c:axId val="128640896"/>
        <c:axId val="128642432"/>
      </c:barChart>
      <c:catAx>
        <c:axId val="128640896"/>
        <c:scaling>
          <c:orientation val="minMax"/>
        </c:scaling>
        <c:delete val="1"/>
        <c:axPos val="l"/>
        <c:numFmt formatCode="General" sourceLinked="1"/>
        <c:majorTickMark val="none"/>
        <c:minorTickMark val="none"/>
        <c:tickLblPos val="nextTo"/>
        <c:crossAx val="128642432"/>
        <c:crosses val="autoZero"/>
        <c:auto val="1"/>
        <c:lblAlgn val="ctr"/>
        <c:lblOffset val="100"/>
        <c:noMultiLvlLbl val="0"/>
      </c:catAx>
      <c:valAx>
        <c:axId val="128642432"/>
        <c:scaling>
          <c:orientation val="minMax"/>
        </c:scaling>
        <c:delete val="1"/>
        <c:axPos val="b"/>
        <c:numFmt formatCode="General" sourceLinked="1"/>
        <c:majorTickMark val="none"/>
        <c:minorTickMark val="none"/>
        <c:tickLblPos val="nextTo"/>
        <c:crossAx val="12864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Completed.xlsx]total trip by time bin!PivotTable12</c:name>
    <c:fmtId val="9"/>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t>Total Trip By Time Bin</a:t>
            </a:r>
          </a:p>
        </c:rich>
      </c:tx>
      <c:layout>
        <c:manualLayout>
          <c:xMode val="edge"/>
          <c:yMode val="edge"/>
          <c:x val="0.30649350649350643"/>
          <c:y val="3.29802969992604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trip by time bin'!$B$3</c:f>
              <c:strCache>
                <c:ptCount val="1"/>
                <c:pt idx="0">
                  <c:v>Total</c:v>
                </c:pt>
              </c:strCache>
            </c:strRef>
          </c:tx>
          <c:spPr>
            <a:solidFill>
              <a:schemeClr val="bg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trip by time bin'!$A$4:$A$12</c:f>
              <c:strCache>
                <c:ptCount val="8"/>
                <c:pt idx="0">
                  <c:v>00:00-02:59</c:v>
                </c:pt>
                <c:pt idx="1">
                  <c:v>03:00-05:59</c:v>
                </c:pt>
                <c:pt idx="2">
                  <c:v>06:00-08:59</c:v>
                </c:pt>
                <c:pt idx="3">
                  <c:v>09:00-11:59</c:v>
                </c:pt>
                <c:pt idx="4">
                  <c:v>12:00-14:59</c:v>
                </c:pt>
                <c:pt idx="5">
                  <c:v>15:00-17:59</c:v>
                </c:pt>
                <c:pt idx="6">
                  <c:v>18:00-20:59</c:v>
                </c:pt>
                <c:pt idx="7">
                  <c:v>21:00-23:59</c:v>
                </c:pt>
              </c:strCache>
            </c:strRef>
          </c:cat>
          <c:val>
            <c:numRef>
              <c:f>'total trip by time bin'!$B$4:$B$12</c:f>
              <c:numCache>
                <c:formatCode>General</c:formatCode>
                <c:ptCount val="8"/>
                <c:pt idx="0">
                  <c:v>3</c:v>
                </c:pt>
                <c:pt idx="1">
                  <c:v>6</c:v>
                </c:pt>
                <c:pt idx="2">
                  <c:v>22</c:v>
                </c:pt>
                <c:pt idx="3">
                  <c:v>15</c:v>
                </c:pt>
                <c:pt idx="4">
                  <c:v>11</c:v>
                </c:pt>
                <c:pt idx="5">
                  <c:v>17</c:v>
                </c:pt>
                <c:pt idx="6">
                  <c:v>29</c:v>
                </c:pt>
                <c:pt idx="7">
                  <c:v>5</c:v>
                </c:pt>
              </c:numCache>
            </c:numRef>
          </c:val>
          <c:extLst>
            <c:ext xmlns:c16="http://schemas.microsoft.com/office/drawing/2014/chart" uri="{C3380CC4-5D6E-409C-BE32-E72D297353CC}">
              <c16:uniqueId val="{00000000-AF81-48B8-B7C4-20A025009D4D}"/>
            </c:ext>
          </c:extLst>
        </c:ser>
        <c:dLbls>
          <c:showLegendKey val="0"/>
          <c:showVal val="1"/>
          <c:showCatName val="0"/>
          <c:showSerName val="0"/>
          <c:showPercent val="0"/>
          <c:showBubbleSize val="0"/>
        </c:dLbls>
        <c:gapWidth val="100"/>
        <c:overlap val="-24"/>
        <c:axId val="129032192"/>
        <c:axId val="129033728"/>
      </c:barChart>
      <c:catAx>
        <c:axId val="129032192"/>
        <c:scaling>
          <c:orientation val="minMax"/>
        </c:scaling>
        <c:delete val="0"/>
        <c:axPos val="b"/>
        <c:numFmt formatCode="#,##0"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9033728"/>
        <c:crosses val="autoZero"/>
        <c:auto val="0"/>
        <c:lblAlgn val="ctr"/>
        <c:lblOffset val="100"/>
        <c:noMultiLvlLbl val="0"/>
      </c:catAx>
      <c:valAx>
        <c:axId val="129033728"/>
        <c:scaling>
          <c:orientation val="minMax"/>
        </c:scaling>
        <c:delete val="1"/>
        <c:axPos val="l"/>
        <c:numFmt formatCode="General" sourceLinked="1"/>
        <c:majorTickMark val="out"/>
        <c:minorTickMark val="none"/>
        <c:tickLblPos val="nextTo"/>
        <c:crossAx val="12903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25400" cap="flat" cmpd="sng" algn="ctr">
      <a:solidFill>
        <a:schemeClr val="dk1">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Completed.xlsx]top 5 pickup!PivotTable9</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5</a:t>
            </a:r>
            <a:r>
              <a:rPr lang="en-US" baseline="0"/>
              <a:t> pickup location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892654128152459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229409163528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229409163528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892654128152459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229409163528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892654128152459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pickup'!$B$3</c:f>
              <c:strCache>
                <c:ptCount val="1"/>
                <c:pt idx="0">
                  <c:v>Total</c:v>
                </c:pt>
              </c:strCache>
            </c:strRef>
          </c:tx>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79BA-4AC5-853A-0A2AEF345908}"/>
              </c:ext>
            </c:extLst>
          </c:dPt>
          <c:dPt>
            <c:idx val="1"/>
            <c:invertIfNegative val="0"/>
            <c:bubble3D val="0"/>
            <c:extLst>
              <c:ext xmlns:c16="http://schemas.microsoft.com/office/drawing/2014/chart" uri="{C3380CC4-5D6E-409C-BE32-E72D297353CC}">
                <c16:uniqueId val="{00000001-79BA-4AC5-853A-0A2AEF345908}"/>
              </c:ext>
            </c:extLst>
          </c:dPt>
          <c:dPt>
            <c:idx val="2"/>
            <c:invertIfNegative val="0"/>
            <c:bubble3D val="0"/>
            <c:extLst>
              <c:ext xmlns:c16="http://schemas.microsoft.com/office/drawing/2014/chart" uri="{C3380CC4-5D6E-409C-BE32-E72D297353CC}">
                <c16:uniqueId val="{00000002-79BA-4AC5-853A-0A2AEF345908}"/>
              </c:ext>
            </c:extLst>
          </c:dPt>
          <c:dPt>
            <c:idx val="3"/>
            <c:invertIfNegative val="0"/>
            <c:bubble3D val="0"/>
            <c:extLst>
              <c:ext xmlns:c16="http://schemas.microsoft.com/office/drawing/2014/chart" uri="{C3380CC4-5D6E-409C-BE32-E72D297353CC}">
                <c16:uniqueId val="{00000003-79BA-4AC5-853A-0A2AEF345908}"/>
              </c:ext>
            </c:extLst>
          </c:dPt>
          <c:dPt>
            <c:idx val="4"/>
            <c:invertIfNegative val="0"/>
            <c:bubble3D val="0"/>
            <c:extLst>
              <c:ext xmlns:c16="http://schemas.microsoft.com/office/drawing/2014/chart" uri="{C3380CC4-5D6E-409C-BE32-E72D297353CC}">
                <c16:uniqueId val="{00000004-79BA-4AC5-853A-0A2AEF345908}"/>
              </c:ext>
            </c:extLst>
          </c:dPt>
          <c:dPt>
            <c:idx val="5"/>
            <c:invertIfNegative val="0"/>
            <c:bubble3D val="0"/>
            <c:extLst>
              <c:ext xmlns:c16="http://schemas.microsoft.com/office/drawing/2014/chart" uri="{C3380CC4-5D6E-409C-BE32-E72D297353CC}">
                <c16:uniqueId val="{0000000B-B951-4B20-B3F2-A7F0EC1D65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5 pickup'!$A$4:$A$9</c:f>
              <c:strCache>
                <c:ptCount val="5"/>
                <c:pt idx="0">
                  <c:v>Tambaram</c:v>
                </c:pt>
                <c:pt idx="1">
                  <c:v>Adyar</c:v>
                </c:pt>
                <c:pt idx="2">
                  <c:v>Chennai Airport</c:v>
                </c:pt>
                <c:pt idx="3">
                  <c:v>Guindy</c:v>
                </c:pt>
                <c:pt idx="4">
                  <c:v>Anna Nagar</c:v>
                </c:pt>
              </c:strCache>
            </c:strRef>
          </c:cat>
          <c:val>
            <c:numRef>
              <c:f>'top 5 pickup'!$B$4:$B$9</c:f>
              <c:numCache>
                <c:formatCode>General</c:formatCode>
                <c:ptCount val="5"/>
                <c:pt idx="0">
                  <c:v>13</c:v>
                </c:pt>
                <c:pt idx="1">
                  <c:v>13</c:v>
                </c:pt>
                <c:pt idx="2">
                  <c:v>15</c:v>
                </c:pt>
                <c:pt idx="3">
                  <c:v>18</c:v>
                </c:pt>
                <c:pt idx="4">
                  <c:v>22</c:v>
                </c:pt>
              </c:numCache>
            </c:numRef>
          </c:val>
          <c:extLst>
            <c:ext xmlns:c16="http://schemas.microsoft.com/office/drawing/2014/chart" uri="{C3380CC4-5D6E-409C-BE32-E72D297353CC}">
              <c16:uniqueId val="{00000006-79BA-4AC5-853A-0A2AEF345908}"/>
            </c:ext>
          </c:extLst>
        </c:ser>
        <c:dLbls>
          <c:showLegendKey val="0"/>
          <c:showVal val="1"/>
          <c:showCatName val="0"/>
          <c:showSerName val="0"/>
          <c:showPercent val="0"/>
          <c:showBubbleSize val="0"/>
        </c:dLbls>
        <c:gapWidth val="150"/>
        <c:overlap val="100"/>
        <c:axId val="129079936"/>
        <c:axId val="129094016"/>
      </c:barChart>
      <c:catAx>
        <c:axId val="129079936"/>
        <c:scaling>
          <c:orientation val="minMax"/>
        </c:scaling>
        <c:delete val="0"/>
        <c:axPos val="l"/>
        <c:numFmt formatCode="General" sourceLinked="1"/>
        <c:majorTickMark val="out"/>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094016"/>
        <c:crosses val="autoZero"/>
        <c:auto val="1"/>
        <c:lblAlgn val="ctr"/>
        <c:lblOffset val="100"/>
        <c:noMultiLvlLbl val="0"/>
      </c:catAx>
      <c:valAx>
        <c:axId val="129094016"/>
        <c:scaling>
          <c:orientation val="minMax"/>
        </c:scaling>
        <c:delete val="1"/>
        <c:axPos val="b"/>
        <c:numFmt formatCode="General" sourceLinked="1"/>
        <c:majorTickMark val="none"/>
        <c:minorTickMark val="none"/>
        <c:tickLblPos val="nextTo"/>
        <c:crossAx val="1290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Completed.xlsx]Payment Type Analysis!PivotTable10</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50"/>
              <a:t>Payment</a:t>
            </a:r>
            <a:r>
              <a:rPr lang="en-US" sz="1050" baseline="0"/>
              <a:t> Type Analysis</a:t>
            </a:r>
            <a:endParaRPr lang="en-US" sz="1050"/>
          </a:p>
        </c:rich>
      </c:tx>
      <c:layout>
        <c:manualLayout>
          <c:xMode val="edge"/>
          <c:yMode val="edge"/>
          <c:x val="9.1002595231159902E-2"/>
          <c:y val="2.04761868933056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circle"/>
          <c:size val="6"/>
        </c:marker>
        <c:dLbl>
          <c:idx val="0"/>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dk1">
              <a:tint val="30000"/>
            </a:schemeClr>
          </a:solidFill>
          <a:ln>
            <a:noFill/>
          </a:ln>
          <a:effectLst>
            <a:outerShdw blurRad="254000" sx="102000" sy="102000" algn="ctr" rotWithShape="0">
              <a:prstClr val="black">
                <a:alpha val="20000"/>
              </a:prstClr>
            </a:outerShdw>
          </a:effectLst>
        </c:spPr>
        <c:dLbl>
          <c:idx val="0"/>
          <c:layout>
            <c:manualLayout>
              <c:x val="-0.11724399074621604"/>
              <c:y val="8.266054872637310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dk1">
              <a:tint val="98500"/>
            </a:schemeClr>
          </a:solidFill>
          <a:ln>
            <a:noFill/>
          </a:ln>
          <a:effectLst>
            <a:outerShdw blurRad="254000" sx="102000" sy="102000" algn="ctr" rotWithShape="0">
              <a:prstClr val="black">
                <a:alpha val="20000"/>
              </a:prstClr>
            </a:outerShdw>
          </a:effectLst>
        </c:spPr>
        <c:dLbl>
          <c:idx val="0"/>
          <c:layout>
            <c:manualLayout>
              <c:x val="0.12752399033124803"/>
              <c:y val="9.966842274212112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dk1">
              <a:tint val="55000"/>
            </a:schemeClr>
          </a:solidFill>
          <a:ln>
            <a:noFill/>
          </a:ln>
          <a:effectLst>
            <a:outerShdw blurRad="254000" sx="102000" sy="102000" algn="ctr" rotWithShape="0">
              <a:prstClr val="black">
                <a:alpha val="20000"/>
              </a:prstClr>
            </a:outerShdw>
          </a:effectLst>
        </c:spPr>
        <c:dLbl>
          <c:idx val="0"/>
          <c:layout>
            <c:manualLayout>
              <c:x val="0.15667247621715261"/>
              <c:y val="-1.9166147397043042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621870882740445"/>
                  <c:h val="4.8945032950017939E-2"/>
                </c:manualLayout>
              </c15:layout>
            </c:ext>
          </c:extLst>
        </c:dLbl>
      </c:pivotFmt>
      <c:pivotFmt>
        <c:idx val="4"/>
        <c:spPr>
          <a:solidFill>
            <a:schemeClr val="dk1">
              <a:tint val="75000"/>
            </a:schemeClr>
          </a:solidFill>
          <a:ln>
            <a:noFill/>
          </a:ln>
          <a:effectLst>
            <a:outerShdw blurRad="254000" sx="102000" sy="102000" algn="ctr" rotWithShape="0">
              <a:prstClr val="black">
                <a:alpha val="20000"/>
              </a:prstClr>
            </a:outerShdw>
          </a:effectLst>
        </c:spPr>
        <c:dLbl>
          <c:idx val="0"/>
          <c:layout>
            <c:manualLayout>
              <c:x val="0.15140248773251166"/>
              <c:y val="-3.2927736550916659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dk1">
              <a:tint val="60000"/>
            </a:schemeClr>
          </a:solidFill>
          <a:ln>
            <a:noFill/>
          </a:ln>
          <a:effectLst>
            <a:outerShdw blurRad="254000" sx="102000" sy="102000" algn="ctr" rotWithShape="0">
              <a:prstClr val="black">
                <a:alpha val="20000"/>
              </a:prstClr>
            </a:outerShdw>
          </a:effectLst>
        </c:spPr>
        <c:dLbl>
          <c:idx val="0"/>
          <c:layout>
            <c:manualLayout>
              <c:x val="-0.11252684323550469"/>
              <c:y val="-4.622783662833512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0767973573828611"/>
              <c:y val="-0.12147256610729218"/>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5034245225275692"/>
                  <c:h val="7.3908872901678663E-2"/>
                </c:manualLayout>
              </c15:layout>
            </c:ext>
          </c:extLst>
        </c:dLbl>
      </c:pivotFmt>
      <c:pivotFmt>
        <c:idx val="7"/>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0767973573828611"/>
              <c:y val="-0.12147256610729218"/>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5034245225275692"/>
                  <c:h val="7.3908872901678663E-2"/>
                </c:manualLayout>
              </c15:layout>
            </c:ext>
          </c:extLst>
        </c:dLbl>
      </c:pivotFmt>
      <c:pivotFmt>
        <c:idx val="9"/>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5667247621715261"/>
              <c:y val="-1.9166147397043042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621870882740445"/>
                  <c:h val="4.8945032950017939E-2"/>
                </c:manualLayout>
              </c15:layout>
            </c:ext>
          </c:extLst>
        </c:dLbl>
      </c:pivotFmt>
      <c:pivotFmt>
        <c:idx val="10"/>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5140248773251166"/>
              <c:y val="-3.2927736550916659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2752399033124803"/>
              <c:y val="9.966842274212112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1724399074621604"/>
              <c:y val="8.266054872637310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1252684323550469"/>
              <c:y val="-4.622783662833512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22758411580594679"/>
              <c:y val="-0.138169783997031"/>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49224726134585289"/>
                  <c:h val="4.8351043754815776E-2"/>
                </c:manualLayout>
              </c15:layout>
            </c:ext>
          </c:extLst>
        </c:dLbl>
      </c:pivotFmt>
      <c:pivotFmt>
        <c:idx val="16"/>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9447006624789481"/>
              <c:y val="-3.6934884334555167E-3"/>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8181388888888886"/>
                  <c:h val="7.9890350877192984E-2"/>
                </c:manualLayout>
              </c15:layout>
            </c:ext>
          </c:extLst>
        </c:dLbl>
      </c:pivotFmt>
      <c:pivotFmt>
        <c:idx val="17"/>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9361159029679689"/>
              <c:y val="1.0437700212223001E-2"/>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8346008535549855"/>
                  <c:h val="0.13259226202288654"/>
                </c:manualLayout>
              </c15:layout>
            </c:ext>
          </c:extLst>
        </c:dLbl>
      </c:pivotFmt>
      <c:pivotFmt>
        <c:idx val="18"/>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22124455255331038"/>
              <c:y val="8.4531935346158549E-2"/>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5454166666666664"/>
                  <c:h val="9.0453703703703703E-2"/>
                </c:manualLayout>
              </c15:layout>
            </c:ext>
          </c:extLst>
        </c:dLbl>
      </c:pivotFmt>
      <c:pivotFmt>
        <c:idx val="19"/>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25923669796557125"/>
              <c:y val="4.7974980579792284E-2"/>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42859076682316127"/>
                  <c:h val="7.8454048266227594E-2"/>
                </c:manualLayout>
              </c15:layout>
            </c:ext>
          </c:extLst>
        </c:dLbl>
      </c:pivotFmt>
      <c:pivotFmt>
        <c:idx val="20"/>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1000734126984126"/>
              <c:y val="-0.21952241715399612"/>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7003888888888886"/>
                  <c:h val="8.299561403508772E-2"/>
                </c:manualLayout>
              </c15:layout>
            </c:ext>
          </c:extLst>
        </c:dLbl>
      </c:pivotFmt>
    </c:pivotFmts>
    <c:plotArea>
      <c:layout/>
      <c:doughnutChart>
        <c:varyColors val="1"/>
        <c:ser>
          <c:idx val="0"/>
          <c:order val="0"/>
          <c:tx>
            <c:strRef>
              <c:f>'Payment Type Analysis'!$B$3</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65-4F1B-9A0E-B6E00C10568F}"/>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65-4F1B-9A0E-B6E00C10568F}"/>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65-4F1B-9A0E-B6E00C10568F}"/>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65-4F1B-9A0E-B6E00C10568F}"/>
              </c:ext>
            </c:extLst>
          </c:dPt>
          <c:dPt>
            <c:idx val="4"/>
            <c:bubble3D val="0"/>
            <c:spPr>
              <a:solidFill>
                <a:schemeClr val="dk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F65-4F1B-9A0E-B6E00C10568F}"/>
              </c:ext>
            </c:extLst>
          </c:dPt>
          <c:dPt>
            <c:idx val="5"/>
            <c:bubble3D val="0"/>
            <c:spPr>
              <a:solidFill>
                <a:schemeClr val="dk1">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F65-4F1B-9A0E-B6E00C10568F}"/>
              </c:ext>
            </c:extLst>
          </c:dPt>
          <c:dLbls>
            <c:dLbl>
              <c:idx val="0"/>
              <c:layout>
                <c:manualLayout>
                  <c:x val="0.22758411580594679"/>
                  <c:y val="-0.138169783997031"/>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49224726134585289"/>
                      <c:h val="4.8351043754815776E-2"/>
                    </c:manualLayout>
                  </c15:layout>
                </c:ext>
                <c:ext xmlns:c16="http://schemas.microsoft.com/office/drawing/2014/chart" uri="{C3380CC4-5D6E-409C-BE32-E72D297353CC}">
                  <c16:uniqueId val="{00000001-EF65-4F1B-9A0E-B6E00C10568F}"/>
                </c:ext>
              </c:extLst>
            </c:dLbl>
            <c:dLbl>
              <c:idx val="1"/>
              <c:layout>
                <c:manualLayout>
                  <c:x val="0.19447006624789481"/>
                  <c:y val="-3.6934884334555167E-3"/>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8181388888888886"/>
                      <c:h val="7.9890350877192984E-2"/>
                    </c:manualLayout>
                  </c15:layout>
                </c:ext>
                <c:ext xmlns:c16="http://schemas.microsoft.com/office/drawing/2014/chart" uri="{C3380CC4-5D6E-409C-BE32-E72D297353CC}">
                  <c16:uniqueId val="{00000003-EF65-4F1B-9A0E-B6E00C10568F}"/>
                </c:ext>
              </c:extLst>
            </c:dLbl>
            <c:dLbl>
              <c:idx val="2"/>
              <c:layout>
                <c:manualLayout>
                  <c:x val="0.19361159029679689"/>
                  <c:y val="1.0437700212223001E-2"/>
                </c:manualLayout>
              </c:layout>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8346008535549855"/>
                      <c:h val="0.13259226202288654"/>
                    </c:manualLayout>
                  </c15:layout>
                </c:ext>
                <c:ext xmlns:c16="http://schemas.microsoft.com/office/drawing/2014/chart" uri="{C3380CC4-5D6E-409C-BE32-E72D297353CC}">
                  <c16:uniqueId val="{00000005-EF65-4F1B-9A0E-B6E00C10568F}"/>
                </c:ext>
              </c:extLst>
            </c:dLbl>
            <c:dLbl>
              <c:idx val="3"/>
              <c:layout>
                <c:manualLayout>
                  <c:x val="0.22124455255331038"/>
                  <c:y val="8.4531935346158549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5454166666666664"/>
                      <c:h val="9.0453703703703703E-2"/>
                    </c:manualLayout>
                  </c15:layout>
                </c:ext>
                <c:ext xmlns:c16="http://schemas.microsoft.com/office/drawing/2014/chart" uri="{C3380CC4-5D6E-409C-BE32-E72D297353CC}">
                  <c16:uniqueId val="{00000007-EF65-4F1B-9A0E-B6E00C10568F}"/>
                </c:ext>
              </c:extLst>
            </c:dLbl>
            <c:dLbl>
              <c:idx val="4"/>
              <c:layout>
                <c:manualLayout>
                  <c:x val="-0.25923669796557125"/>
                  <c:y val="4.797498057979228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42859076682316127"/>
                      <c:h val="7.8454048266227594E-2"/>
                    </c:manualLayout>
                  </c15:layout>
                </c:ext>
                <c:ext xmlns:c16="http://schemas.microsoft.com/office/drawing/2014/chart" uri="{C3380CC4-5D6E-409C-BE32-E72D297353CC}">
                  <c16:uniqueId val="{00000009-EF65-4F1B-9A0E-B6E00C10568F}"/>
                </c:ext>
              </c:extLst>
            </c:dLbl>
            <c:dLbl>
              <c:idx val="5"/>
              <c:layout>
                <c:manualLayout>
                  <c:x val="-0.11000734126984126"/>
                  <c:y val="-0.2195224171539961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7003888888888886"/>
                      <c:h val="8.299561403508772E-2"/>
                    </c:manualLayout>
                  </c15:layout>
                </c:ext>
                <c:ext xmlns:c16="http://schemas.microsoft.com/office/drawing/2014/chart" uri="{C3380CC4-5D6E-409C-BE32-E72D297353CC}">
                  <c16:uniqueId val="{0000000B-EF65-4F1B-9A0E-B6E00C10568F}"/>
                </c:ext>
              </c:extLst>
            </c:dLbl>
            <c:numFmt formatCode="&quot;₹&quot;\ #,##0,&quot;k&quot;" sourceLinked="0"/>
            <c:spPr>
              <a:solidFill>
                <a:schemeClr val="tx1">
                  <a:lumMod val="95000"/>
                  <a:lumOff val="5000"/>
                  <a:alpha val="85000"/>
                </a:schemeClr>
              </a:solidFill>
              <a:ln cmpd="sng">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Type Analysis'!$A$4:$A$10</c:f>
              <c:strCache>
                <c:ptCount val="6"/>
                <c:pt idx="0">
                  <c:v>Amazon Pay</c:v>
                </c:pt>
                <c:pt idx="1">
                  <c:v>Card</c:v>
                </c:pt>
                <c:pt idx="2">
                  <c:v>Cash</c:v>
                </c:pt>
                <c:pt idx="3">
                  <c:v>Google Pay</c:v>
                </c:pt>
                <c:pt idx="4">
                  <c:v>Paytm</c:v>
                </c:pt>
                <c:pt idx="5">
                  <c:v>UPI</c:v>
                </c:pt>
              </c:strCache>
            </c:strRef>
          </c:cat>
          <c:val>
            <c:numRef>
              <c:f>'Payment Type Analysis'!$B$4:$B$10</c:f>
              <c:numCache>
                <c:formatCode>General</c:formatCode>
                <c:ptCount val="6"/>
                <c:pt idx="0">
                  <c:v>928</c:v>
                </c:pt>
                <c:pt idx="1">
                  <c:v>3970</c:v>
                </c:pt>
                <c:pt idx="2">
                  <c:v>2218</c:v>
                </c:pt>
                <c:pt idx="3">
                  <c:v>1400</c:v>
                </c:pt>
                <c:pt idx="4">
                  <c:v>1817</c:v>
                </c:pt>
                <c:pt idx="5">
                  <c:v>12220</c:v>
                </c:pt>
              </c:numCache>
            </c:numRef>
          </c:val>
          <c:extLst>
            <c:ext xmlns:c16="http://schemas.microsoft.com/office/drawing/2014/chart" uri="{C3380CC4-5D6E-409C-BE32-E72D297353CC}">
              <c16:uniqueId val="{0000000C-EF65-4F1B-9A0E-B6E00C10568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Analysis'!$A$2:$A$8</c:f>
              <c:strCache>
                <c:ptCount val="6"/>
                <c:pt idx="0">
                  <c:v>Uber Auto</c:v>
                </c:pt>
                <c:pt idx="1">
                  <c:v>Uber Black</c:v>
                </c:pt>
                <c:pt idx="2">
                  <c:v>Uber Comfort</c:v>
                </c:pt>
                <c:pt idx="3">
                  <c:v>Uber Green</c:v>
                </c:pt>
                <c:pt idx="4">
                  <c:v>UberX</c:v>
                </c:pt>
                <c:pt idx="5">
                  <c:v>UberXL</c:v>
                </c:pt>
              </c:strCache>
            </c:strRef>
          </c:cat>
          <c:val>
            <c:numRef>
              <c:f>'Vehicle Analysis'!$B$2:$B$8</c:f>
              <c:numCache>
                <c:formatCode>General</c:formatCode>
                <c:ptCount val="6"/>
                <c:pt idx="0">
                  <c:v>26</c:v>
                </c:pt>
                <c:pt idx="1">
                  <c:v>7</c:v>
                </c:pt>
                <c:pt idx="2">
                  <c:v>16</c:v>
                </c:pt>
                <c:pt idx="3">
                  <c:v>9</c:v>
                </c:pt>
                <c:pt idx="4">
                  <c:v>33</c:v>
                </c:pt>
                <c:pt idx="5">
                  <c:v>17</c:v>
                </c:pt>
              </c:numCache>
            </c:numRef>
          </c:val>
          <c:extLst>
            <c:ext xmlns:c16="http://schemas.microsoft.com/office/drawing/2014/chart" uri="{C3380CC4-5D6E-409C-BE32-E72D297353CC}">
              <c16:uniqueId val="{00000000-6D66-4DF3-9FA6-90775A69FD48}"/>
            </c:ext>
          </c:extLst>
        </c:ser>
        <c:dLbls>
          <c:showLegendKey val="0"/>
          <c:showVal val="1"/>
          <c:showCatName val="0"/>
          <c:showSerName val="0"/>
          <c:showPercent val="0"/>
          <c:showBubbleSize val="0"/>
        </c:dLbls>
        <c:gapWidth val="182"/>
        <c:axId val="129632128"/>
        <c:axId val="129633664"/>
      </c:barChart>
      <c:catAx>
        <c:axId val="12963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normalizeH="0" baseline="0">
                <a:solidFill>
                  <a:schemeClr val="tx1"/>
                </a:solidFill>
                <a:latin typeface="+mn-lt"/>
                <a:ea typeface="+mn-ea"/>
                <a:cs typeface="+mn-cs"/>
              </a:defRPr>
            </a:pPr>
            <a:endParaRPr lang="en-US"/>
          </a:p>
        </c:txPr>
        <c:crossAx val="129633664"/>
        <c:crosses val="autoZero"/>
        <c:auto val="1"/>
        <c:lblAlgn val="ctr"/>
        <c:lblOffset val="100"/>
        <c:noMultiLvlLbl val="0"/>
      </c:catAx>
      <c:valAx>
        <c:axId val="129633664"/>
        <c:scaling>
          <c:orientation val="minMax"/>
        </c:scaling>
        <c:delete val="1"/>
        <c:axPos val="b"/>
        <c:numFmt formatCode="General" sourceLinked="1"/>
        <c:majorTickMark val="none"/>
        <c:minorTickMark val="none"/>
        <c:tickLblPos val="nextTo"/>
        <c:crossAx val="12963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Analysis!PivotTable15</c:name>
    <c:fmtId val="13"/>
  </c:pivotSource>
  <c:chart>
    <c:autoTitleDeleted val="1"/>
    <c:pivotFmts>
      <c:pivotFmt>
        <c:idx val="0"/>
        <c:spPr>
          <a:solidFill>
            <a:schemeClr val="tx1">
              <a:lumMod val="95000"/>
              <a:lumOff val="50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Analysis'!$B$10</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Analysis'!$A$11:$A$17</c:f>
              <c:strCache>
                <c:ptCount val="6"/>
                <c:pt idx="0">
                  <c:v>Uber Auto</c:v>
                </c:pt>
                <c:pt idx="1">
                  <c:v>Uber Black</c:v>
                </c:pt>
                <c:pt idx="2">
                  <c:v>Uber Comfort</c:v>
                </c:pt>
                <c:pt idx="3">
                  <c:v>Uber Green</c:v>
                </c:pt>
                <c:pt idx="4">
                  <c:v>UberX</c:v>
                </c:pt>
                <c:pt idx="5">
                  <c:v>UberXL</c:v>
                </c:pt>
              </c:strCache>
            </c:strRef>
          </c:cat>
          <c:val>
            <c:numRef>
              <c:f>'Vehicle Analysis'!$B$11:$B$17</c:f>
              <c:numCache>
                <c:formatCode>General</c:formatCode>
                <c:ptCount val="6"/>
                <c:pt idx="0">
                  <c:v>106.19999999999999</c:v>
                </c:pt>
                <c:pt idx="1">
                  <c:v>49.199999999999996</c:v>
                </c:pt>
                <c:pt idx="2">
                  <c:v>98.399999999999991</c:v>
                </c:pt>
                <c:pt idx="3">
                  <c:v>91.799999999999983</c:v>
                </c:pt>
                <c:pt idx="4">
                  <c:v>246.50000000000006</c:v>
                </c:pt>
                <c:pt idx="5">
                  <c:v>110</c:v>
                </c:pt>
              </c:numCache>
            </c:numRef>
          </c:val>
          <c:extLst>
            <c:ext xmlns:c16="http://schemas.microsoft.com/office/drawing/2014/chart" uri="{C3380CC4-5D6E-409C-BE32-E72D297353CC}">
              <c16:uniqueId val="{00000000-6607-484F-917A-1C77A2272771}"/>
            </c:ext>
          </c:extLst>
        </c:ser>
        <c:dLbls>
          <c:showLegendKey val="0"/>
          <c:showVal val="1"/>
          <c:showCatName val="0"/>
          <c:showSerName val="0"/>
          <c:showPercent val="0"/>
          <c:showBubbleSize val="0"/>
        </c:dLbls>
        <c:gapWidth val="182"/>
        <c:axId val="129693184"/>
        <c:axId val="129694720"/>
      </c:barChart>
      <c:catAx>
        <c:axId val="129693184"/>
        <c:scaling>
          <c:orientation val="minMax"/>
        </c:scaling>
        <c:delete val="1"/>
        <c:axPos val="l"/>
        <c:numFmt formatCode="General" sourceLinked="1"/>
        <c:majorTickMark val="none"/>
        <c:minorTickMark val="none"/>
        <c:tickLblPos val="nextTo"/>
        <c:crossAx val="129694720"/>
        <c:crosses val="autoZero"/>
        <c:auto val="1"/>
        <c:lblAlgn val="ctr"/>
        <c:lblOffset val="100"/>
        <c:noMultiLvlLbl val="0"/>
      </c:catAx>
      <c:valAx>
        <c:axId val="129694720"/>
        <c:scaling>
          <c:orientation val="minMax"/>
        </c:scaling>
        <c:delete val="1"/>
        <c:axPos val="b"/>
        <c:numFmt formatCode="General" sourceLinked="1"/>
        <c:majorTickMark val="none"/>
        <c:minorTickMark val="none"/>
        <c:tickLblPos val="nextTo"/>
        <c:crossAx val="12969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Analysis!PivotTable16</c:name>
    <c:fmtId val="10"/>
  </c:pivotSource>
  <c:chart>
    <c:autoTitleDeleted val="1"/>
    <c:pivotFmts>
      <c:pivotFmt>
        <c:idx val="0"/>
        <c:spPr>
          <a:solidFill>
            <a:schemeClr val="tx1">
              <a:lumMod val="95000"/>
              <a:lumOff val="50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Analysis'!$B$19</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Analysis'!$A$20:$A$26</c:f>
              <c:strCache>
                <c:ptCount val="6"/>
                <c:pt idx="0">
                  <c:v>Uber Auto</c:v>
                </c:pt>
                <c:pt idx="1">
                  <c:v>Uber Black</c:v>
                </c:pt>
                <c:pt idx="2">
                  <c:v>Uber Comfort</c:v>
                </c:pt>
                <c:pt idx="3">
                  <c:v>Uber Green</c:v>
                </c:pt>
                <c:pt idx="4">
                  <c:v>UberX</c:v>
                </c:pt>
                <c:pt idx="5">
                  <c:v>UberXL</c:v>
                </c:pt>
              </c:strCache>
            </c:strRef>
          </c:cat>
          <c:val>
            <c:numRef>
              <c:f>'Vehicle Analysis'!$B$20:$B$26</c:f>
              <c:numCache>
                <c:formatCode>General</c:formatCode>
                <c:ptCount val="6"/>
                <c:pt idx="0">
                  <c:v>2542</c:v>
                </c:pt>
                <c:pt idx="1">
                  <c:v>2752</c:v>
                </c:pt>
                <c:pt idx="2">
                  <c:v>3964</c:v>
                </c:pt>
                <c:pt idx="3">
                  <c:v>2575</c:v>
                </c:pt>
                <c:pt idx="4">
                  <c:v>6605</c:v>
                </c:pt>
                <c:pt idx="5">
                  <c:v>4115</c:v>
                </c:pt>
              </c:numCache>
            </c:numRef>
          </c:val>
          <c:extLst>
            <c:ext xmlns:c16="http://schemas.microsoft.com/office/drawing/2014/chart" uri="{C3380CC4-5D6E-409C-BE32-E72D297353CC}">
              <c16:uniqueId val="{00000000-4E21-4B02-87DB-E38C322FB173}"/>
            </c:ext>
          </c:extLst>
        </c:ser>
        <c:dLbls>
          <c:showLegendKey val="0"/>
          <c:showVal val="1"/>
          <c:showCatName val="0"/>
          <c:showSerName val="0"/>
          <c:showPercent val="0"/>
          <c:showBubbleSize val="0"/>
        </c:dLbls>
        <c:gapWidth val="182"/>
        <c:axId val="129766528"/>
        <c:axId val="129768064"/>
      </c:barChart>
      <c:catAx>
        <c:axId val="129766528"/>
        <c:scaling>
          <c:orientation val="minMax"/>
        </c:scaling>
        <c:delete val="1"/>
        <c:axPos val="l"/>
        <c:numFmt formatCode="General" sourceLinked="1"/>
        <c:majorTickMark val="out"/>
        <c:minorTickMark val="none"/>
        <c:tickLblPos val="nextTo"/>
        <c:crossAx val="129768064"/>
        <c:crosses val="autoZero"/>
        <c:auto val="1"/>
        <c:lblAlgn val="ctr"/>
        <c:lblOffset val="100"/>
        <c:noMultiLvlLbl val="0"/>
      </c:catAx>
      <c:valAx>
        <c:axId val="129768064"/>
        <c:scaling>
          <c:orientation val="minMax"/>
        </c:scaling>
        <c:delete val="1"/>
        <c:axPos val="b"/>
        <c:numFmt formatCode="General" sourceLinked="1"/>
        <c:majorTickMark val="none"/>
        <c:minorTickMark val="none"/>
        <c:tickLblPos val="nextTo"/>
        <c:crossAx val="12976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Completed.xlsx]Vehicle Analysis!PivotTable17</c:name>
    <c:fmtId val="12"/>
  </c:pivotSource>
  <c:chart>
    <c:autoTitleDeleted val="1"/>
    <c:pivotFmts>
      <c:pivotFmt>
        <c:idx val="0"/>
        <c:spPr>
          <a:solidFill>
            <a:schemeClr val="tx1"/>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Analysis'!$B$28</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'Vehicle Analysis'!$A$29:$A$35</c:f>
              <c:strCache>
                <c:ptCount val="6"/>
                <c:pt idx="0">
                  <c:v>Uber Auto</c:v>
                </c:pt>
                <c:pt idx="1">
                  <c:v>Uber Black</c:v>
                </c:pt>
                <c:pt idx="2">
                  <c:v>Uber Comfort</c:v>
                </c:pt>
                <c:pt idx="3">
                  <c:v>Uber Green</c:v>
                </c:pt>
                <c:pt idx="4">
                  <c:v>UberX</c:v>
                </c:pt>
                <c:pt idx="5">
                  <c:v>UberXL</c:v>
                </c:pt>
              </c:strCache>
            </c:strRef>
          </c:cat>
          <c:val>
            <c:numRef>
              <c:f>'Vehicle Analysis'!$B$29:$B$35</c:f>
              <c:numCache>
                <c:formatCode>General</c:formatCode>
                <c:ptCount val="6"/>
                <c:pt idx="0">
                  <c:v>97.769230769230774</c:v>
                </c:pt>
                <c:pt idx="1">
                  <c:v>393.14285714285717</c:v>
                </c:pt>
                <c:pt idx="2">
                  <c:v>247.75</c:v>
                </c:pt>
                <c:pt idx="3">
                  <c:v>286.11111111111109</c:v>
                </c:pt>
                <c:pt idx="4">
                  <c:v>200.15151515151516</c:v>
                </c:pt>
                <c:pt idx="5">
                  <c:v>242.05882352941177</c:v>
                </c:pt>
              </c:numCache>
            </c:numRef>
          </c:val>
          <c:extLst>
            <c:ext xmlns:c16="http://schemas.microsoft.com/office/drawing/2014/chart" uri="{C3380CC4-5D6E-409C-BE32-E72D297353CC}">
              <c16:uniqueId val="{00000000-F053-48B2-9124-C0F7B91600B7}"/>
            </c:ext>
          </c:extLst>
        </c:ser>
        <c:dLbls>
          <c:showLegendKey val="0"/>
          <c:showVal val="1"/>
          <c:showCatName val="0"/>
          <c:showSerName val="0"/>
          <c:showPercent val="0"/>
          <c:showBubbleSize val="0"/>
        </c:dLbls>
        <c:gapWidth val="100"/>
        <c:axId val="129815296"/>
        <c:axId val="129816832"/>
      </c:barChart>
      <c:catAx>
        <c:axId val="129815296"/>
        <c:scaling>
          <c:orientation val="minMax"/>
        </c:scaling>
        <c:delete val="1"/>
        <c:axPos val="l"/>
        <c:numFmt formatCode="General" sourceLinked="1"/>
        <c:majorTickMark val="none"/>
        <c:minorTickMark val="none"/>
        <c:tickLblPos val="nextTo"/>
        <c:crossAx val="129816832"/>
        <c:crosses val="autoZero"/>
        <c:auto val="1"/>
        <c:lblAlgn val="ctr"/>
        <c:lblOffset val="100"/>
        <c:noMultiLvlLbl val="0"/>
      </c:catAx>
      <c:valAx>
        <c:axId val="129816832"/>
        <c:scaling>
          <c:orientation val="minMax"/>
        </c:scaling>
        <c:delete val="1"/>
        <c:axPos val="b"/>
        <c:numFmt formatCode="General" sourceLinked="1"/>
        <c:majorTickMark val="none"/>
        <c:minorTickMark val="none"/>
        <c:tickLblPos val="nextTo"/>
        <c:crossAx val="12981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excel Dashboard Completed.xlsx]total trip by months!PivotTable11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rPr>
              <a:t>Total Trip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trip by months'!$B$1</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trip by months'!$A$2:$A$6</c:f>
              <c:strCache>
                <c:ptCount val="4"/>
                <c:pt idx="0">
                  <c:v>May</c:v>
                </c:pt>
                <c:pt idx="1">
                  <c:v>June</c:v>
                </c:pt>
                <c:pt idx="2">
                  <c:v>July</c:v>
                </c:pt>
                <c:pt idx="3">
                  <c:v>August</c:v>
                </c:pt>
              </c:strCache>
            </c:strRef>
          </c:cat>
          <c:val>
            <c:numRef>
              <c:f>'total trip by months'!$B$2:$B$6</c:f>
              <c:numCache>
                <c:formatCode>General</c:formatCode>
                <c:ptCount val="4"/>
                <c:pt idx="0">
                  <c:v>13</c:v>
                </c:pt>
                <c:pt idx="1">
                  <c:v>41</c:v>
                </c:pt>
                <c:pt idx="2">
                  <c:v>44</c:v>
                </c:pt>
                <c:pt idx="3">
                  <c:v>10</c:v>
                </c:pt>
              </c:numCache>
            </c:numRef>
          </c:val>
          <c:smooth val="1"/>
          <c:extLst>
            <c:ext xmlns:c16="http://schemas.microsoft.com/office/drawing/2014/chart" uri="{C3380CC4-5D6E-409C-BE32-E72D297353CC}">
              <c16:uniqueId val="{00000000-18F7-4179-8798-3A8C39137B97}"/>
            </c:ext>
          </c:extLst>
        </c:ser>
        <c:dLbls>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30190336"/>
        <c:axId val="130200320"/>
      </c:lineChart>
      <c:catAx>
        <c:axId val="130190336"/>
        <c:scaling>
          <c:orientation val="minMax"/>
        </c:scaling>
        <c:delete val="0"/>
        <c:axPos val="b"/>
        <c:numFmt formatCode="General" sourceLinked="1"/>
        <c:majorTickMark val="none"/>
        <c:minorTickMark val="none"/>
        <c:tickLblPos val="nextTo"/>
        <c:spPr>
          <a:solidFill>
            <a:schemeClr val="bg1">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0320"/>
        <c:crosses val="autoZero"/>
        <c:auto val="1"/>
        <c:lblAlgn val="ctr"/>
        <c:lblOffset val="100"/>
        <c:noMultiLvlLbl val="0"/>
      </c:catAx>
      <c:valAx>
        <c:axId val="130200320"/>
        <c:scaling>
          <c:orientation val="minMax"/>
        </c:scaling>
        <c:delete val="1"/>
        <c:axPos val="l"/>
        <c:numFmt formatCode="General" sourceLinked="1"/>
        <c:majorTickMark val="none"/>
        <c:minorTickMark val="none"/>
        <c:tickLblPos val="nextTo"/>
        <c:crossAx val="1301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0"/>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Completed.xlsx]Payment Type Analysis!PivotTable10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Type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1724399074621604"/>
              <c:y val="8.266054872637310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2752399033124803"/>
              <c:y val="9.966842274212112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5667247621715261"/>
              <c:y val="-1.9166147397043042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621870882740445"/>
                  <c:h val="4.8945032950017939E-2"/>
                </c:manualLayout>
              </c15:layout>
            </c:ext>
          </c:extLst>
        </c:dLbl>
      </c:pivotFmt>
      <c:pivotFmt>
        <c:idx val="4"/>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5140248773251166"/>
              <c:y val="-3.2927736550916659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1252684323550469"/>
              <c:y val="-4.6227836628335121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254000" sx="102000" sy="102000" algn="ctr" rotWithShape="0">
              <a:prstClr val="black">
                <a:alpha val="20000"/>
              </a:prstClr>
            </a:outerShdw>
          </a:effectLst>
        </c:spPr>
        <c:dLbl>
          <c:idx val="0"/>
          <c:layout>
            <c:manualLayout>
              <c:x val="0.10767973573828611"/>
              <c:y val="-0.12147256610729218"/>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5034245225275692"/>
                  <c:h val="7.3908872901678663E-2"/>
                </c:manualLayout>
              </c15:layout>
            </c:ext>
          </c:extLst>
        </c:dLbl>
      </c:pivotFmt>
    </c:pivotFmts>
    <c:plotArea>
      <c:layout/>
      <c:doughnutChart>
        <c:varyColors val="1"/>
        <c:ser>
          <c:idx val="0"/>
          <c:order val="0"/>
          <c:tx>
            <c:strRef>
              <c:f>'Payment Type Analysis'!$B$3</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39A-4143-B272-69F541653664}"/>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39A-4143-B272-69F541653664}"/>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39A-4143-B272-69F541653664}"/>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39A-4143-B272-69F541653664}"/>
              </c:ext>
            </c:extLst>
          </c:dPt>
          <c:dPt>
            <c:idx val="4"/>
            <c:bubble3D val="0"/>
            <c:spPr>
              <a:solidFill>
                <a:schemeClr val="dk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39A-4143-B272-69F541653664}"/>
              </c:ext>
            </c:extLst>
          </c:dPt>
          <c:dPt>
            <c:idx val="5"/>
            <c:bubble3D val="0"/>
            <c:spPr>
              <a:solidFill>
                <a:schemeClr val="dk1">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39A-4143-B272-69F541653664}"/>
              </c:ext>
            </c:extLst>
          </c:dPt>
          <c:dLbls>
            <c:dLbl>
              <c:idx val="0"/>
              <c:layout>
                <c:manualLayout>
                  <c:x val="0.10767973573828611"/>
                  <c:y val="-0.12147256610729218"/>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5034245225275692"/>
                      <c:h val="7.3908872901678663E-2"/>
                    </c:manualLayout>
                  </c15:layout>
                </c:ext>
                <c:ext xmlns:c16="http://schemas.microsoft.com/office/drawing/2014/chart" uri="{C3380CC4-5D6E-409C-BE32-E72D297353CC}">
                  <c16:uniqueId val="{00000009-A39A-4143-B272-69F541653664}"/>
                </c:ext>
              </c:extLst>
            </c:dLbl>
            <c:dLbl>
              <c:idx val="1"/>
              <c:layout>
                <c:manualLayout>
                  <c:x val="0.15667247621715261"/>
                  <c:y val="-1.9166147397043042E-2"/>
                </c:manualLayout>
              </c:layout>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621870882740445"/>
                      <c:h val="4.8945032950017939E-2"/>
                    </c:manualLayout>
                  </c15:layout>
                </c:ext>
                <c:ext xmlns:c16="http://schemas.microsoft.com/office/drawing/2014/chart" uri="{C3380CC4-5D6E-409C-BE32-E72D297353CC}">
                  <c16:uniqueId val="{00000006-A39A-4143-B272-69F541653664}"/>
                </c:ext>
              </c:extLst>
            </c:dLbl>
            <c:dLbl>
              <c:idx val="2"/>
              <c:layout>
                <c:manualLayout>
                  <c:x val="0.15140248773251166"/>
                  <c:y val="-3.292773655091665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A39A-4143-B272-69F541653664}"/>
                </c:ext>
              </c:extLst>
            </c:dLbl>
            <c:dLbl>
              <c:idx val="3"/>
              <c:layout>
                <c:manualLayout>
                  <c:x val="0.12752399033124803"/>
                  <c:y val="9.96684227421211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39A-4143-B272-69F541653664}"/>
                </c:ext>
              </c:extLst>
            </c:dLbl>
            <c:dLbl>
              <c:idx val="4"/>
              <c:layout>
                <c:manualLayout>
                  <c:x val="-0.11724399074621604"/>
                  <c:y val="8.266054872637310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A39A-4143-B272-69F541653664}"/>
                </c:ext>
              </c:extLst>
            </c:dLbl>
            <c:dLbl>
              <c:idx val="5"/>
              <c:layout>
                <c:manualLayout>
                  <c:x val="-0.11252684323550469"/>
                  <c:y val="-4.62278366283351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A39A-4143-B272-69F541653664}"/>
                </c:ext>
              </c:extLst>
            </c:dLbl>
            <c:numFmt formatCode="&quot;₹&quot;\ #,##0,&quot;k&quot;" sourceLinked="0"/>
            <c:spPr>
              <a:solidFill>
                <a:schemeClr val="tx1">
                  <a:lumMod val="95000"/>
                  <a:lumOff val="5000"/>
                  <a:alpha val="85000"/>
                </a:schemeClr>
              </a:solidFill>
              <a:ln cmpd="sng">
                <a:solidFill>
                  <a:schemeClr val="tx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Type Analysis'!$A$4:$A$10</c:f>
              <c:strCache>
                <c:ptCount val="6"/>
                <c:pt idx="0">
                  <c:v>Amazon Pay</c:v>
                </c:pt>
                <c:pt idx="1">
                  <c:v>Card</c:v>
                </c:pt>
                <c:pt idx="2">
                  <c:v>Cash</c:v>
                </c:pt>
                <c:pt idx="3">
                  <c:v>Google Pay</c:v>
                </c:pt>
                <c:pt idx="4">
                  <c:v>Paytm</c:v>
                </c:pt>
                <c:pt idx="5">
                  <c:v>UPI</c:v>
                </c:pt>
              </c:strCache>
            </c:strRef>
          </c:cat>
          <c:val>
            <c:numRef>
              <c:f>'Payment Type Analysis'!$B$4:$B$10</c:f>
              <c:numCache>
                <c:formatCode>General</c:formatCode>
                <c:ptCount val="6"/>
                <c:pt idx="0">
                  <c:v>928</c:v>
                </c:pt>
                <c:pt idx="1">
                  <c:v>3970</c:v>
                </c:pt>
                <c:pt idx="2">
                  <c:v>2218</c:v>
                </c:pt>
                <c:pt idx="3">
                  <c:v>1400</c:v>
                </c:pt>
                <c:pt idx="4">
                  <c:v>1817</c:v>
                </c:pt>
                <c:pt idx="5">
                  <c:v>12220</c:v>
                </c:pt>
              </c:numCache>
            </c:numRef>
          </c:val>
          <c:extLst>
            <c:ext xmlns:c16="http://schemas.microsoft.com/office/drawing/2014/chart" uri="{C3380CC4-5D6E-409C-BE32-E72D297353CC}">
              <c16:uniqueId val="{00000000-A39A-4143-B272-69F541653664}"/>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excel Dashboard Completed.xlsx]total trip by months!PivotTable11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rPr>
              <a:t>Total Trip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trip by months'!$B$1</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trip by months'!$A$2:$A$6</c:f>
              <c:strCache>
                <c:ptCount val="4"/>
                <c:pt idx="0">
                  <c:v>May</c:v>
                </c:pt>
                <c:pt idx="1">
                  <c:v>June</c:v>
                </c:pt>
                <c:pt idx="2">
                  <c:v>July</c:v>
                </c:pt>
                <c:pt idx="3">
                  <c:v>August</c:v>
                </c:pt>
              </c:strCache>
            </c:strRef>
          </c:cat>
          <c:val>
            <c:numRef>
              <c:f>'total trip by months'!$B$2:$B$6</c:f>
              <c:numCache>
                <c:formatCode>General</c:formatCode>
                <c:ptCount val="4"/>
                <c:pt idx="0">
                  <c:v>13</c:v>
                </c:pt>
                <c:pt idx="1">
                  <c:v>41</c:v>
                </c:pt>
                <c:pt idx="2">
                  <c:v>44</c:v>
                </c:pt>
                <c:pt idx="3">
                  <c:v>10</c:v>
                </c:pt>
              </c:numCache>
            </c:numRef>
          </c:val>
          <c:smooth val="1"/>
          <c:extLst>
            <c:ext xmlns:c16="http://schemas.microsoft.com/office/drawing/2014/chart" uri="{C3380CC4-5D6E-409C-BE32-E72D297353CC}">
              <c16:uniqueId val="{00000000-89B3-4DCD-9D98-F48DD6A542E4}"/>
            </c:ext>
          </c:extLst>
        </c:ser>
        <c:dLbls>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31953792"/>
        <c:axId val="131955328"/>
      </c:lineChart>
      <c:catAx>
        <c:axId val="131953792"/>
        <c:scaling>
          <c:orientation val="minMax"/>
        </c:scaling>
        <c:delete val="0"/>
        <c:axPos val="b"/>
        <c:numFmt formatCode="General" sourceLinked="1"/>
        <c:majorTickMark val="none"/>
        <c:minorTickMark val="none"/>
        <c:tickLblPos val="nextTo"/>
        <c:spPr>
          <a:solidFill>
            <a:schemeClr val="bg1">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328"/>
        <c:crosses val="autoZero"/>
        <c:auto val="1"/>
        <c:lblAlgn val="ctr"/>
        <c:lblOffset val="100"/>
        <c:noMultiLvlLbl val="0"/>
      </c:catAx>
      <c:valAx>
        <c:axId val="131955328"/>
        <c:scaling>
          <c:orientation val="minMax"/>
        </c:scaling>
        <c:delete val="1"/>
        <c:axPos val="l"/>
        <c:numFmt formatCode="General" sourceLinked="1"/>
        <c:majorTickMark val="none"/>
        <c:minorTickMark val="none"/>
        <c:tickLblPos val="nextTo"/>
        <c:crossAx val="1319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Completed.xlsx]top 5 pickup!PivotTable9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5</a:t>
            </a:r>
            <a:r>
              <a:rPr lang="en-US" baseline="0"/>
              <a:t> pickup location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229409163528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229409163528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6967059654228003"/>
              <c:y val="8.06126561870199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3343871248430905"/>
              <c:y val="4.0306328093510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6967059654228003"/>
              <c:y val="-1.2091898428053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254558584388907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5229409163528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pickup'!$B$3</c:f>
              <c:strCache>
                <c:ptCount val="1"/>
                <c:pt idx="0">
                  <c:v>Total</c:v>
                </c:pt>
              </c:strCache>
            </c:strRef>
          </c:tx>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EB71-4FB5-AFCD-A47749D7F6FD}"/>
              </c:ext>
            </c:extLst>
          </c:dPt>
          <c:dPt>
            <c:idx val="1"/>
            <c:invertIfNegative val="0"/>
            <c:bubble3D val="0"/>
            <c:extLst>
              <c:ext xmlns:c16="http://schemas.microsoft.com/office/drawing/2014/chart" uri="{C3380CC4-5D6E-409C-BE32-E72D297353CC}">
                <c16:uniqueId val="{00000004-EB71-4FB5-AFCD-A47749D7F6FD}"/>
              </c:ext>
            </c:extLst>
          </c:dPt>
          <c:dPt>
            <c:idx val="2"/>
            <c:invertIfNegative val="0"/>
            <c:bubble3D val="0"/>
            <c:extLst>
              <c:ext xmlns:c16="http://schemas.microsoft.com/office/drawing/2014/chart" uri="{C3380CC4-5D6E-409C-BE32-E72D297353CC}">
                <c16:uniqueId val="{00000003-EB71-4FB5-AFCD-A47749D7F6FD}"/>
              </c:ext>
            </c:extLst>
          </c:dPt>
          <c:dPt>
            <c:idx val="3"/>
            <c:invertIfNegative val="0"/>
            <c:bubble3D val="0"/>
            <c:extLst>
              <c:ext xmlns:c16="http://schemas.microsoft.com/office/drawing/2014/chart" uri="{C3380CC4-5D6E-409C-BE32-E72D297353CC}">
                <c16:uniqueId val="{00000002-EB71-4FB5-AFCD-A47749D7F6FD}"/>
              </c:ext>
            </c:extLst>
          </c:dPt>
          <c:dPt>
            <c:idx val="4"/>
            <c:invertIfNegative val="0"/>
            <c:bubble3D val="0"/>
            <c:extLst>
              <c:ext xmlns:c16="http://schemas.microsoft.com/office/drawing/2014/chart" uri="{C3380CC4-5D6E-409C-BE32-E72D297353CC}">
                <c16:uniqueId val="{00000006-EB71-4FB5-AFCD-A47749D7F6FD}"/>
              </c:ext>
            </c:extLst>
          </c:dPt>
          <c:dPt>
            <c:idx val="5"/>
            <c:invertIfNegative val="0"/>
            <c:bubble3D val="0"/>
            <c:extLst>
              <c:ext xmlns:c16="http://schemas.microsoft.com/office/drawing/2014/chart" uri="{C3380CC4-5D6E-409C-BE32-E72D297353CC}">
                <c16:uniqueId val="{00000005-235A-4C73-9652-53EF036AADD2}"/>
              </c:ext>
            </c:extLst>
          </c:dPt>
          <c:dLbls>
            <c:dLbl>
              <c:idx val="0"/>
              <c:layout>
                <c:manualLayout>
                  <c:x val="0.16967059654228003"/>
                  <c:y val="8.061265618701990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71-4FB5-AFCD-A47749D7F6FD}"/>
                </c:ext>
              </c:extLst>
            </c:dLbl>
            <c:dLbl>
              <c:idx val="1"/>
              <c:layout>
                <c:manualLayout>
                  <c:x val="0.13343871248430905"/>
                  <c:y val="4.03063280935103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71-4FB5-AFCD-A47749D7F6FD}"/>
                </c:ext>
              </c:extLst>
            </c:dLbl>
            <c:dLbl>
              <c:idx val="2"/>
              <c:layout>
                <c:manualLayout>
                  <c:x val="0.16967059654228003"/>
                  <c:y val="-1.20918984280532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71-4FB5-AFCD-A47749D7F6FD}"/>
                </c:ext>
              </c:extLst>
            </c:dLbl>
            <c:dLbl>
              <c:idx val="3"/>
              <c:layout>
                <c:manualLayout>
                  <c:x val="0.2545585843889078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71-4FB5-AFCD-A47749D7F6FD}"/>
                </c:ext>
              </c:extLst>
            </c:dLbl>
            <c:dLbl>
              <c:idx val="4"/>
              <c:layout>
                <c:manualLayout>
                  <c:x val="0.2522940916352847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71-4FB5-AFCD-A47749D7F6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5 pickup'!$A$4:$A$9</c:f>
              <c:strCache>
                <c:ptCount val="5"/>
                <c:pt idx="0">
                  <c:v>Tambaram</c:v>
                </c:pt>
                <c:pt idx="1">
                  <c:v>Adyar</c:v>
                </c:pt>
                <c:pt idx="2">
                  <c:v>Chennai Airport</c:v>
                </c:pt>
                <c:pt idx="3">
                  <c:v>Guindy</c:v>
                </c:pt>
                <c:pt idx="4">
                  <c:v>Anna Nagar</c:v>
                </c:pt>
              </c:strCache>
            </c:strRef>
          </c:cat>
          <c:val>
            <c:numRef>
              <c:f>'top 5 pickup'!$B$4:$B$9</c:f>
              <c:numCache>
                <c:formatCode>General</c:formatCode>
                <c:ptCount val="5"/>
                <c:pt idx="0">
                  <c:v>13</c:v>
                </c:pt>
                <c:pt idx="1">
                  <c:v>13</c:v>
                </c:pt>
                <c:pt idx="2">
                  <c:v>15</c:v>
                </c:pt>
                <c:pt idx="3">
                  <c:v>18</c:v>
                </c:pt>
                <c:pt idx="4">
                  <c:v>22</c:v>
                </c:pt>
              </c:numCache>
            </c:numRef>
          </c:val>
          <c:extLst>
            <c:ext xmlns:c16="http://schemas.microsoft.com/office/drawing/2014/chart" uri="{C3380CC4-5D6E-409C-BE32-E72D297353CC}">
              <c16:uniqueId val="{00000000-EB71-4FB5-AFCD-A47749D7F6FD}"/>
            </c:ext>
          </c:extLst>
        </c:ser>
        <c:dLbls>
          <c:showLegendKey val="0"/>
          <c:showVal val="1"/>
          <c:showCatName val="0"/>
          <c:showSerName val="0"/>
          <c:showPercent val="0"/>
          <c:showBubbleSize val="0"/>
        </c:dLbls>
        <c:gapWidth val="150"/>
        <c:overlap val="100"/>
        <c:axId val="133619072"/>
        <c:axId val="133432448"/>
      </c:barChart>
      <c:catAx>
        <c:axId val="133619072"/>
        <c:scaling>
          <c:orientation val="minMax"/>
        </c:scaling>
        <c:delete val="0"/>
        <c:axPos val="l"/>
        <c:numFmt formatCode="General" sourceLinked="1"/>
        <c:majorTickMark val="out"/>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3432448"/>
        <c:crosses val="autoZero"/>
        <c:auto val="1"/>
        <c:lblAlgn val="ctr"/>
        <c:lblOffset val="100"/>
        <c:noMultiLvlLbl val="0"/>
      </c:catAx>
      <c:valAx>
        <c:axId val="133432448"/>
        <c:scaling>
          <c:orientation val="minMax"/>
        </c:scaling>
        <c:delete val="1"/>
        <c:axPos val="b"/>
        <c:numFmt formatCode="General" sourceLinked="1"/>
        <c:majorTickMark val="none"/>
        <c:minorTickMark val="none"/>
        <c:tickLblPos val="nextTo"/>
        <c:crossAx val="13361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[uber excel Dashboard Completed.xlsx]total trip by time bin!PivotTable12</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Total Trip By Time Bin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trip by time bin'!$B$3</c:f>
              <c:strCache>
                <c:ptCount val="1"/>
                <c:pt idx="0">
                  <c:v>Total</c:v>
                </c:pt>
              </c:strCache>
            </c:strRef>
          </c:tx>
          <c:spPr>
            <a:solidFill>
              <a:schemeClr val="bg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trip by time bin'!$A$4:$A$12</c:f>
              <c:strCache>
                <c:ptCount val="8"/>
                <c:pt idx="0">
                  <c:v>00:00-02:59</c:v>
                </c:pt>
                <c:pt idx="1">
                  <c:v>03:00-05:59</c:v>
                </c:pt>
                <c:pt idx="2">
                  <c:v>06:00-08:59</c:v>
                </c:pt>
                <c:pt idx="3">
                  <c:v>09:00-11:59</c:v>
                </c:pt>
                <c:pt idx="4">
                  <c:v>12:00-14:59</c:v>
                </c:pt>
                <c:pt idx="5">
                  <c:v>15:00-17:59</c:v>
                </c:pt>
                <c:pt idx="6">
                  <c:v>18:00-20:59</c:v>
                </c:pt>
                <c:pt idx="7">
                  <c:v>21:00-23:59</c:v>
                </c:pt>
              </c:strCache>
            </c:strRef>
          </c:cat>
          <c:val>
            <c:numRef>
              <c:f>'total trip by time bin'!$B$4:$B$12</c:f>
              <c:numCache>
                <c:formatCode>General</c:formatCode>
                <c:ptCount val="8"/>
                <c:pt idx="0">
                  <c:v>3</c:v>
                </c:pt>
                <c:pt idx="1">
                  <c:v>6</c:v>
                </c:pt>
                <c:pt idx="2">
                  <c:v>22</c:v>
                </c:pt>
                <c:pt idx="3">
                  <c:v>15</c:v>
                </c:pt>
                <c:pt idx="4">
                  <c:v>11</c:v>
                </c:pt>
                <c:pt idx="5">
                  <c:v>17</c:v>
                </c:pt>
                <c:pt idx="6">
                  <c:v>29</c:v>
                </c:pt>
                <c:pt idx="7">
                  <c:v>5</c:v>
                </c:pt>
              </c:numCache>
            </c:numRef>
          </c:val>
          <c:extLst>
            <c:ext xmlns:c16="http://schemas.microsoft.com/office/drawing/2014/chart" uri="{C3380CC4-5D6E-409C-BE32-E72D297353CC}">
              <c16:uniqueId val="{00000000-4C92-4484-ABFA-D8A4199A6C9D}"/>
            </c:ext>
          </c:extLst>
        </c:ser>
        <c:dLbls>
          <c:showLegendKey val="0"/>
          <c:showVal val="1"/>
          <c:showCatName val="0"/>
          <c:showSerName val="0"/>
          <c:showPercent val="0"/>
          <c:showBubbleSize val="0"/>
        </c:dLbls>
        <c:gapWidth val="100"/>
        <c:overlap val="-24"/>
        <c:axId val="134122496"/>
        <c:axId val="134136576"/>
      </c:barChart>
      <c:catAx>
        <c:axId val="134122496"/>
        <c:scaling>
          <c:orientation val="minMax"/>
        </c:scaling>
        <c:delete val="0"/>
        <c:axPos val="b"/>
        <c:numFmt formatCode="#,##0"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136576"/>
        <c:crosses val="autoZero"/>
        <c:auto val="0"/>
        <c:lblAlgn val="ctr"/>
        <c:lblOffset val="100"/>
        <c:noMultiLvlLbl val="0"/>
      </c:catAx>
      <c:valAx>
        <c:axId val="134136576"/>
        <c:scaling>
          <c:orientation val="minMax"/>
        </c:scaling>
        <c:delete val="1"/>
        <c:axPos val="l"/>
        <c:numFmt formatCode="General" sourceLinked="1"/>
        <c:majorTickMark val="out"/>
        <c:minorTickMark val="none"/>
        <c:tickLblPos val="nextTo"/>
        <c:crossAx val="13412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18" Type="http://schemas.microsoft.com/office/2007/relationships/hdphoto" Target="../media/hdphoto4.wdp"/><Relationship Id="rId3" Type="http://schemas.openxmlformats.org/officeDocument/2006/relationships/chart" Target="../charts/chart7.xml"/><Relationship Id="rId21" Type="http://schemas.openxmlformats.org/officeDocument/2006/relationships/image" Target="../media/image10.png"/><Relationship Id="rId7" Type="http://schemas.openxmlformats.org/officeDocument/2006/relationships/chart" Target="../charts/chart11.xml"/><Relationship Id="rId12" Type="http://schemas.openxmlformats.org/officeDocument/2006/relationships/image" Target="../media/image4.png"/><Relationship Id="rId17" Type="http://schemas.openxmlformats.org/officeDocument/2006/relationships/image" Target="../media/image7.png"/><Relationship Id="rId2" Type="http://schemas.openxmlformats.org/officeDocument/2006/relationships/chart" Target="../charts/chart6.xml"/><Relationship Id="rId16" Type="http://schemas.microsoft.com/office/2007/relationships/hdphoto" Target="../media/hdphoto3.wdp"/><Relationship Id="rId20" Type="http://schemas.openxmlformats.org/officeDocument/2006/relationships/image" Target="../media/image9.png"/><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chart" Target="../charts/chart9.xml"/><Relationship Id="rId15" Type="http://schemas.openxmlformats.org/officeDocument/2006/relationships/image" Target="../media/image6.png"/><Relationship Id="rId23" Type="http://schemas.openxmlformats.org/officeDocument/2006/relationships/image" Target="../media/image11.png"/><Relationship Id="rId10" Type="http://schemas.microsoft.com/office/2007/relationships/hdphoto" Target="../media/hdphoto1.wdp"/><Relationship Id="rId19" Type="http://schemas.openxmlformats.org/officeDocument/2006/relationships/image" Target="../media/image8.png"/><Relationship Id="rId4" Type="http://schemas.openxmlformats.org/officeDocument/2006/relationships/chart" Target="../charts/chart8.xml"/><Relationship Id="rId9" Type="http://schemas.openxmlformats.org/officeDocument/2006/relationships/image" Target="../media/image2.png"/><Relationship Id="rId14" Type="http://schemas.microsoft.com/office/2007/relationships/hdphoto" Target="../media/hdphoto2.wdp"/><Relationship Id="rId22"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135699</xdr:colOff>
      <xdr:row>2</xdr:row>
      <xdr:rowOff>165026</xdr:rowOff>
    </xdr:from>
    <xdr:to>
      <xdr:col>6</xdr:col>
      <xdr:colOff>0</xdr:colOff>
      <xdr:row>17</xdr:row>
      <xdr:rowOff>0</xdr:rowOff>
    </xdr:to>
    <xdr:grpSp>
      <xdr:nvGrpSpPr>
        <xdr:cNvPr id="10" name="Group 9">
          <a:extLst>
            <a:ext uri="{FF2B5EF4-FFF2-40B4-BE49-F238E27FC236}">
              <a16:creationId xmlns:a16="http://schemas.microsoft.com/office/drawing/2014/main" id="{5726B54B-D681-9CE4-7DE5-5C54CF538C0D}"/>
            </a:ext>
          </a:extLst>
        </xdr:cNvPr>
        <xdr:cNvGrpSpPr/>
      </xdr:nvGrpSpPr>
      <xdr:grpSpPr>
        <a:xfrm>
          <a:off x="3564699" y="532888"/>
          <a:ext cx="7786473" cy="2593940"/>
          <a:chOff x="2815837" y="532888"/>
          <a:chExt cx="7786473" cy="2593940"/>
        </a:xfrm>
      </xdr:grpSpPr>
      <xdr:graphicFrame macro="">
        <xdr:nvGraphicFramePr>
          <xdr:cNvPr id="6" name="Chart 5">
            <a:extLst>
              <a:ext uri="{FF2B5EF4-FFF2-40B4-BE49-F238E27FC236}">
                <a16:creationId xmlns:a16="http://schemas.microsoft.com/office/drawing/2014/main" id="{9A9EF69E-EEC2-2C37-59E1-5EAD432E66F1}"/>
              </a:ext>
            </a:extLst>
          </xdr:cNvPr>
          <xdr:cNvGraphicFramePr/>
        </xdr:nvGraphicFramePr>
        <xdr:xfrm>
          <a:off x="2815837" y="735724"/>
          <a:ext cx="1743025" cy="2372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8C3DE221-935F-A76D-A751-9D5C156C6E4B}"/>
              </a:ext>
            </a:extLst>
          </xdr:cNvPr>
          <xdr:cNvGraphicFramePr/>
        </xdr:nvGraphicFramePr>
        <xdr:xfrm>
          <a:off x="4558863" y="532888"/>
          <a:ext cx="2010104" cy="25939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2CB24AB6-D938-910C-F078-F4D25365FD99}"/>
              </a:ext>
            </a:extLst>
          </xdr:cNvPr>
          <xdr:cNvGraphicFramePr/>
        </xdr:nvGraphicFramePr>
        <xdr:xfrm>
          <a:off x="6568966" y="570697"/>
          <a:ext cx="2023241" cy="253722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C8CA420C-AE83-4B36-4E48-03F01E311BC8}"/>
              </a:ext>
            </a:extLst>
          </xdr:cNvPr>
          <xdr:cNvGraphicFramePr/>
        </xdr:nvGraphicFramePr>
        <xdr:xfrm>
          <a:off x="8558481" y="532888"/>
          <a:ext cx="2043829" cy="257503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2.xml><?xml version="1.0" encoding="utf-8"?>
<c:userShapes xmlns:c="http://schemas.openxmlformats.org/drawingml/2006/chart">
  <cdr:relSizeAnchor xmlns:cdr="http://schemas.openxmlformats.org/drawingml/2006/chartDrawing">
    <cdr:from>
      <cdr:x>0.31826</cdr:x>
      <cdr:y>0.93814</cdr:y>
    </cdr:from>
    <cdr:to>
      <cdr:x>0.67077</cdr:x>
      <cdr:y>0.98232</cdr:y>
    </cdr:to>
    <cdr:sp macro="" textlink="">
      <cdr:nvSpPr>
        <cdr:cNvPr id="2" name="TextBox 1">
          <a:extLst xmlns:a="http://schemas.openxmlformats.org/drawingml/2006/main">
            <a:ext uri="{FF2B5EF4-FFF2-40B4-BE49-F238E27FC236}">
              <a16:creationId xmlns:a16="http://schemas.microsoft.com/office/drawing/2014/main" id="{7688E071-8824-665C-C17F-B49EF20C7E92}"/>
            </a:ext>
          </a:extLst>
        </cdr:cNvPr>
        <cdr:cNvSpPr txBox="1"/>
      </cdr:nvSpPr>
      <cdr:spPr>
        <a:xfrm xmlns:a="http://schemas.openxmlformats.org/drawingml/2006/main">
          <a:off x="1325880" y="2941320"/>
          <a:ext cx="1468582" cy="1385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0.14148</cdr:x>
      <cdr:y>0.91659</cdr:y>
    </cdr:from>
    <cdr:to>
      <cdr:x>0.52332</cdr:x>
      <cdr:y>0.9918</cdr:y>
    </cdr:to>
    <cdr:sp macro="" textlink="">
      <cdr:nvSpPr>
        <cdr:cNvPr id="3" name="TextBox 2">
          <a:extLst xmlns:a="http://schemas.openxmlformats.org/drawingml/2006/main">
            <a:ext uri="{FF2B5EF4-FFF2-40B4-BE49-F238E27FC236}">
              <a16:creationId xmlns:a16="http://schemas.microsoft.com/office/drawing/2014/main" id="{8C9928AA-8358-2D6F-ABC9-BBA5248B4B54}"/>
            </a:ext>
          </a:extLst>
        </cdr:cNvPr>
        <cdr:cNvSpPr txBox="1"/>
      </cdr:nvSpPr>
      <cdr:spPr>
        <a:xfrm xmlns:a="http://schemas.openxmlformats.org/drawingml/2006/main">
          <a:off x="451989" y="2334525"/>
          <a:ext cx="1219901" cy="1915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b="1" kern="1200">
              <a:solidFill>
                <a:schemeClr val="tx1">
                  <a:lumMod val="95000"/>
                  <a:lumOff val="5000"/>
                </a:schemeClr>
              </a:solidFill>
              <a:latin typeface="Times New Roman" panose="02020603050405020304" pitchFamily="18" charset="0"/>
              <a:cs typeface="Times New Roman" panose="02020603050405020304" pitchFamily="18" charset="0"/>
            </a:rPr>
            <a:t>Bookings</a:t>
          </a:r>
        </a:p>
      </cdr:txBody>
    </cdr:sp>
  </cdr:relSizeAnchor>
</c:userShapes>
</file>

<file path=xl/drawings/drawing3.xml><?xml version="1.0" encoding="utf-8"?>
<c:userShapes xmlns:c="http://schemas.openxmlformats.org/drawingml/2006/chart">
  <cdr:relSizeAnchor xmlns:cdr="http://schemas.openxmlformats.org/drawingml/2006/chartDrawing">
    <cdr:from>
      <cdr:x>0.04128</cdr:x>
      <cdr:y>0.91667</cdr:y>
    </cdr:from>
    <cdr:to>
      <cdr:x>1</cdr:x>
      <cdr:y>0.99163</cdr:y>
    </cdr:to>
    <cdr:sp macro="" textlink="">
      <cdr:nvSpPr>
        <cdr:cNvPr id="2" name="TextBox 1">
          <a:extLst xmlns:a="http://schemas.openxmlformats.org/drawingml/2006/main">
            <a:ext uri="{FF2B5EF4-FFF2-40B4-BE49-F238E27FC236}">
              <a16:creationId xmlns:a16="http://schemas.microsoft.com/office/drawing/2014/main" id="{A9FD1FF0-DD85-47B4-E291-67CCAFF2BF18}"/>
            </a:ext>
          </a:extLst>
        </cdr:cNvPr>
        <cdr:cNvSpPr txBox="1"/>
      </cdr:nvSpPr>
      <cdr:spPr>
        <a:xfrm xmlns:a="http://schemas.openxmlformats.org/drawingml/2006/main">
          <a:off x="82975" y="4046482"/>
          <a:ext cx="1927128" cy="3309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IN" sz="1100" b="1" kern="1200">
              <a:solidFill>
                <a:schemeClr val="tx1">
                  <a:lumMod val="95000"/>
                  <a:lumOff val="5000"/>
                </a:schemeClr>
              </a:solidFill>
              <a:latin typeface="Times New Roman" panose="02020603050405020304" pitchFamily="18" charset="0"/>
              <a:cs typeface="Times New Roman" panose="02020603050405020304" pitchFamily="18" charset="0"/>
            </a:rPr>
            <a:t> Distance</a:t>
          </a:r>
        </a:p>
      </cdr:txBody>
    </cdr:sp>
  </cdr:relSizeAnchor>
</c:userShapes>
</file>

<file path=xl/drawings/drawing4.xml><?xml version="1.0" encoding="utf-8"?>
<c:userShapes xmlns:c="http://schemas.openxmlformats.org/drawingml/2006/chart">
  <cdr:relSizeAnchor xmlns:cdr="http://schemas.openxmlformats.org/drawingml/2006/chartDrawing">
    <cdr:from>
      <cdr:x>0.1062</cdr:x>
      <cdr:y>0.90127</cdr:y>
    </cdr:from>
    <cdr:to>
      <cdr:x>0.98333</cdr:x>
      <cdr:y>1</cdr:y>
    </cdr:to>
    <cdr:sp macro="" textlink="">
      <cdr:nvSpPr>
        <cdr:cNvPr id="2" name="TextBox 1">
          <a:extLst xmlns:a="http://schemas.openxmlformats.org/drawingml/2006/main">
            <a:ext uri="{FF2B5EF4-FFF2-40B4-BE49-F238E27FC236}">
              <a16:creationId xmlns:a16="http://schemas.microsoft.com/office/drawing/2014/main" id="{288E9F01-E35B-B9C5-7A5C-5393726FADAB}"/>
            </a:ext>
          </a:extLst>
        </cdr:cNvPr>
        <cdr:cNvSpPr txBox="1"/>
      </cdr:nvSpPr>
      <cdr:spPr>
        <a:xfrm xmlns:a="http://schemas.openxmlformats.org/drawingml/2006/main">
          <a:off x="214871" y="2286723"/>
          <a:ext cx="1774644" cy="2505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latin typeface="Times New Roman" panose="02020603050405020304" pitchFamily="18" charset="0"/>
              <a:cs typeface="Times New Roman" panose="02020603050405020304" pitchFamily="18" charset="0"/>
            </a:rPr>
            <a:t>Trip</a:t>
          </a:r>
          <a:r>
            <a:rPr lang="en-IN" sz="1200" b="1" kern="1200" baseline="0">
              <a:latin typeface="Times New Roman" panose="02020603050405020304" pitchFamily="18" charset="0"/>
              <a:cs typeface="Times New Roman" panose="02020603050405020304" pitchFamily="18" charset="0"/>
            </a:rPr>
            <a:t> Value</a:t>
          </a:r>
          <a:endParaRPr lang="en-IN" sz="1100" b="1" kern="1200">
            <a:latin typeface="Times New Roman" panose="02020603050405020304" pitchFamily="18" charset="0"/>
            <a:cs typeface="Times New Roman" panose="020206030504050203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0.23393</cdr:x>
      <cdr:y>0.91613</cdr:y>
    </cdr:from>
    <cdr:to>
      <cdr:x>1</cdr:x>
      <cdr:y>1</cdr:y>
    </cdr:to>
    <cdr:sp macro="" textlink="">
      <cdr:nvSpPr>
        <cdr:cNvPr id="2" name="TextBox 1">
          <a:extLst xmlns:a="http://schemas.openxmlformats.org/drawingml/2006/main">
            <a:ext uri="{FF2B5EF4-FFF2-40B4-BE49-F238E27FC236}">
              <a16:creationId xmlns:a16="http://schemas.microsoft.com/office/drawing/2014/main" id="{49EE8CF2-0E29-46FF-7E7B-A7B8812D0E77}"/>
            </a:ext>
          </a:extLst>
        </cdr:cNvPr>
        <cdr:cNvSpPr txBox="1"/>
      </cdr:nvSpPr>
      <cdr:spPr>
        <a:xfrm xmlns:a="http://schemas.openxmlformats.org/drawingml/2006/main">
          <a:off x="478114" y="2359064"/>
          <a:ext cx="1565715" cy="2159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tx1"/>
              </a:solidFill>
              <a:latin typeface="Times New Roman" panose="02020603050405020304" pitchFamily="18" charset="0"/>
              <a:cs typeface="Times New Roman" panose="02020603050405020304" pitchFamily="18" charset="0"/>
            </a:rPr>
            <a:t>Average Trip Value</a:t>
          </a:r>
        </a:p>
      </cdr:txBody>
    </cdr:sp>
  </cdr:relSizeAnchor>
</c:userShapes>
</file>

<file path=xl/drawings/drawing6.xml><?xml version="1.0" encoding="utf-8"?>
<xdr:wsDr xmlns:xdr="http://schemas.openxmlformats.org/drawingml/2006/spreadsheetDrawing" xmlns:a="http://schemas.openxmlformats.org/drawingml/2006/main">
  <xdr:twoCellAnchor>
    <xdr:from>
      <xdr:col>9</xdr:col>
      <xdr:colOff>423333</xdr:colOff>
      <xdr:row>6</xdr:row>
      <xdr:rowOff>45720</xdr:rowOff>
    </xdr:from>
    <xdr:to>
      <xdr:col>22</xdr:col>
      <xdr:colOff>563880</xdr:colOff>
      <xdr:row>17</xdr:row>
      <xdr:rowOff>144780</xdr:rowOff>
    </xdr:to>
    <xdr:sp macro="" textlink="">
      <xdr:nvSpPr>
        <xdr:cNvPr id="12" name="Rectangle: Rounded Corners 11">
          <a:extLst>
            <a:ext uri="{FF2B5EF4-FFF2-40B4-BE49-F238E27FC236}">
              <a16:creationId xmlns:a16="http://schemas.microsoft.com/office/drawing/2014/main" id="{76B96934-9311-2A95-9528-356903A873A1}"/>
            </a:ext>
            <a:ext uri="{147F2762-F138-4A5C-976F-8EAC2B608ADB}">
              <a16:predDERef xmlns:a16="http://schemas.microsoft.com/office/drawing/2014/main" pred="{FB716CBB-ADC0-EE63-9DC9-EC71BB04200D}"/>
            </a:ext>
          </a:extLst>
        </xdr:cNvPr>
        <xdr:cNvSpPr/>
      </xdr:nvSpPr>
      <xdr:spPr>
        <a:xfrm>
          <a:off x="5909733" y="1163320"/>
          <a:ext cx="8065347" cy="2147993"/>
        </a:xfrm>
        <a:prstGeom prst="roundRect">
          <a:avLst/>
        </a:prstGeom>
        <a:solidFill>
          <a:schemeClr val="bg1"/>
        </a:solidFill>
        <a:ln>
          <a:solidFill>
            <a:schemeClr val="bg2"/>
          </a:solidFill>
        </a:ln>
        <a:scene3d>
          <a:camera prst="orthographicFront"/>
          <a:lightRig rig="threePt" dir="t"/>
        </a:scene3d>
        <a:sp3d>
          <a:bevelT w="165100" prst="coolSlan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533400</xdr:colOff>
      <xdr:row>12</xdr:row>
      <xdr:rowOff>3810</xdr:rowOff>
    </xdr:from>
    <xdr:to>
      <xdr:col>12</xdr:col>
      <xdr:colOff>228600</xdr:colOff>
      <xdr:row>17</xdr:row>
      <xdr:rowOff>3810</xdr:rowOff>
    </xdr:to>
    <xdr:sp macro="" textlink="">
      <xdr:nvSpPr>
        <xdr:cNvPr id="4" name="TextBox 3">
          <a:extLst>
            <a:ext uri="{FF2B5EF4-FFF2-40B4-BE49-F238E27FC236}">
              <a16:creationId xmlns:a16="http://schemas.microsoft.com/office/drawing/2014/main" id="{352E437B-524C-09B3-4D84-3AF50FDA91DF}"/>
            </a:ext>
          </a:extLst>
        </xdr:cNvPr>
        <xdr:cNvSpPr txBox="1"/>
      </xdr:nvSpPr>
      <xdr:spPr>
        <a:xfrm>
          <a:off x="6629400" y="219837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36390</xdr:colOff>
      <xdr:row>6</xdr:row>
      <xdr:rowOff>84667</xdr:rowOff>
    </xdr:from>
    <xdr:to>
      <xdr:col>9</xdr:col>
      <xdr:colOff>314476</xdr:colOff>
      <xdr:row>17</xdr:row>
      <xdr:rowOff>114300</xdr:rowOff>
    </xdr:to>
    <xdr:sp macro="" textlink="">
      <xdr:nvSpPr>
        <xdr:cNvPr id="11" name="Rectangle: Rounded Corners 10">
          <a:extLst>
            <a:ext uri="{FF2B5EF4-FFF2-40B4-BE49-F238E27FC236}">
              <a16:creationId xmlns:a16="http://schemas.microsoft.com/office/drawing/2014/main" id="{6E5A53E9-A365-F3E1-957F-6F48A44B2085}"/>
            </a:ext>
            <a:ext uri="{147F2762-F138-4A5C-976F-8EAC2B608ADB}">
              <a16:predDERef xmlns:a16="http://schemas.microsoft.com/office/drawing/2014/main" pred="{352E437B-524C-09B3-4D84-3AF50FDA91DF}"/>
            </a:ext>
          </a:extLst>
        </xdr:cNvPr>
        <xdr:cNvSpPr/>
      </xdr:nvSpPr>
      <xdr:spPr>
        <a:xfrm>
          <a:off x="3060200" y="1173238"/>
          <a:ext cx="2697133" cy="2025348"/>
        </a:xfrm>
        <a:prstGeom prst="roundRect">
          <a:avLst>
            <a:gd name="adj" fmla="val 16116"/>
          </a:avLst>
        </a:prstGeom>
        <a:solidFill>
          <a:schemeClr val="bg1"/>
        </a:solidFill>
        <a:ln>
          <a:noFill/>
        </a:ln>
        <a:scene3d>
          <a:camera prst="orthographicFront"/>
          <a:lightRig rig="threePt" dir="t"/>
        </a:scene3d>
        <a:sp3d>
          <a:bevelT w="165100" prst="coolSlan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335280</xdr:colOff>
      <xdr:row>18</xdr:row>
      <xdr:rowOff>30480</xdr:rowOff>
    </xdr:from>
    <xdr:to>
      <xdr:col>22</xdr:col>
      <xdr:colOff>502920</xdr:colOff>
      <xdr:row>30</xdr:row>
      <xdr:rowOff>114300</xdr:rowOff>
    </xdr:to>
    <xdr:grpSp>
      <xdr:nvGrpSpPr>
        <xdr:cNvPr id="20" name="Group 19">
          <a:extLst>
            <a:ext uri="{FF2B5EF4-FFF2-40B4-BE49-F238E27FC236}">
              <a16:creationId xmlns:a16="http://schemas.microsoft.com/office/drawing/2014/main" id="{B684810A-7C59-E0B0-BE52-A544A69ECE08}"/>
            </a:ext>
          </a:extLst>
        </xdr:cNvPr>
        <xdr:cNvGrpSpPr/>
      </xdr:nvGrpSpPr>
      <xdr:grpSpPr>
        <a:xfrm>
          <a:off x="8260080" y="3383280"/>
          <a:ext cx="5654040" cy="2319020"/>
          <a:chOff x="8260080" y="3322320"/>
          <a:chExt cx="5654040" cy="2164080"/>
        </a:xfrm>
        <a:solidFill>
          <a:schemeClr val="tx1"/>
        </a:solidFill>
      </xdr:grpSpPr>
      <xdr:sp macro="" textlink="">
        <xdr:nvSpPr>
          <xdr:cNvPr id="15" name="Rectangle: Rounded Corners 14">
            <a:extLst>
              <a:ext uri="{FF2B5EF4-FFF2-40B4-BE49-F238E27FC236}">
                <a16:creationId xmlns:a16="http://schemas.microsoft.com/office/drawing/2014/main" id="{2A8E4E8E-B898-45C2-A404-CC82556B81E5}"/>
              </a:ext>
            </a:extLst>
          </xdr:cNvPr>
          <xdr:cNvSpPr/>
        </xdr:nvSpPr>
        <xdr:spPr>
          <a:xfrm>
            <a:off x="8260080" y="3322320"/>
            <a:ext cx="5654040" cy="2164080"/>
          </a:xfrm>
          <a:prstGeom prst="roundRect">
            <a:avLst/>
          </a:prstGeom>
          <a:grpFill/>
          <a:ln>
            <a:noFill/>
          </a:ln>
          <a:scene3d>
            <a:camera prst="orthographicFront"/>
            <a:lightRig rig="threePt" dir="t"/>
          </a:scene3d>
          <a:sp3d>
            <a:bevelT w="165100" prst="coolSlan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CA3A6DA1-7597-4731-AFF2-E79E45795CF2}"/>
              </a:ext>
            </a:extLst>
          </xdr:cNvPr>
          <xdr:cNvGraphicFramePr>
            <a:graphicFrameLocks/>
          </xdr:cNvGraphicFramePr>
        </xdr:nvGraphicFramePr>
        <xdr:xfrm>
          <a:off x="8404860" y="3474720"/>
          <a:ext cx="5280660" cy="18288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0</xdr:colOff>
      <xdr:row>28</xdr:row>
      <xdr:rowOff>160997</xdr:rowOff>
    </xdr:from>
    <xdr:to>
      <xdr:col>4</xdr:col>
      <xdr:colOff>583025</xdr:colOff>
      <xdr:row>35</xdr:row>
      <xdr:rowOff>38476</xdr:rowOff>
    </xdr:to>
    <xdr:sp macro="" textlink="">
      <xdr:nvSpPr>
        <xdr:cNvPr id="14" name="Rectangle: Rounded Corners 13">
          <a:extLst>
            <a:ext uri="{FF2B5EF4-FFF2-40B4-BE49-F238E27FC236}">
              <a16:creationId xmlns:a16="http://schemas.microsoft.com/office/drawing/2014/main" id="{59E93DE2-9B9F-EACF-59CD-D5FCD19F8161}"/>
            </a:ext>
          </a:extLst>
        </xdr:cNvPr>
        <xdr:cNvSpPr/>
      </xdr:nvSpPr>
      <xdr:spPr>
        <a:xfrm>
          <a:off x="0" y="5240997"/>
          <a:ext cx="3002073" cy="1147479"/>
        </a:xfrm>
        <a:prstGeom prst="roundRect">
          <a:avLst/>
        </a:prstGeom>
        <a:noFill/>
        <a:ln>
          <a:solidFill>
            <a:schemeClr val="bg2">
              <a:alpha val="0"/>
            </a:schemeClr>
          </a:solid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57996</xdr:colOff>
      <xdr:row>18</xdr:row>
      <xdr:rowOff>16933</xdr:rowOff>
    </xdr:from>
    <xdr:to>
      <xdr:col>5</xdr:col>
      <xdr:colOff>0</xdr:colOff>
      <xdr:row>30</xdr:row>
      <xdr:rowOff>128847</xdr:rowOff>
    </xdr:to>
    <xdr:grpSp>
      <xdr:nvGrpSpPr>
        <xdr:cNvPr id="31" name="Group 30">
          <a:extLst>
            <a:ext uri="{FF2B5EF4-FFF2-40B4-BE49-F238E27FC236}">
              <a16:creationId xmlns:a16="http://schemas.microsoft.com/office/drawing/2014/main" id="{88CCB711-075D-60F4-C730-536149C5622D}"/>
            </a:ext>
            <a:ext uri="{147F2762-F138-4A5C-976F-8EAC2B608ADB}">
              <a16:predDERef xmlns:a16="http://schemas.microsoft.com/office/drawing/2014/main" pred="{C044E413-7730-1A26-C425-BA341D3EA04C}"/>
            </a:ext>
          </a:extLst>
        </xdr:cNvPr>
        <xdr:cNvGrpSpPr/>
      </xdr:nvGrpSpPr>
      <xdr:grpSpPr>
        <a:xfrm>
          <a:off x="57996" y="3369733"/>
          <a:ext cx="2990004" cy="2347114"/>
          <a:chOff x="0" y="3436620"/>
          <a:chExt cx="3048000" cy="2115570"/>
        </a:xfrm>
        <a:solidFill>
          <a:schemeClr val="bg1"/>
        </a:solidFill>
      </xdr:grpSpPr>
      <xdr:sp macro="" textlink="">
        <xdr:nvSpPr>
          <xdr:cNvPr id="13" name="Rectangle: Rounded Corners 12">
            <a:extLst>
              <a:ext uri="{FF2B5EF4-FFF2-40B4-BE49-F238E27FC236}">
                <a16:creationId xmlns:a16="http://schemas.microsoft.com/office/drawing/2014/main" id="{C80756C4-5333-D2CA-64B3-B679F13D4631}"/>
              </a:ext>
            </a:extLst>
          </xdr:cNvPr>
          <xdr:cNvSpPr/>
        </xdr:nvSpPr>
        <xdr:spPr>
          <a:xfrm>
            <a:off x="0" y="3436620"/>
            <a:ext cx="3048000" cy="2115570"/>
          </a:xfrm>
          <a:prstGeom prst="roundRect">
            <a:avLst/>
          </a:prstGeom>
          <a:grpFill/>
          <a:ln>
            <a:noFill/>
          </a:ln>
          <a:scene3d>
            <a:camera prst="orthographicFront"/>
            <a:lightRig rig="threePt" dir="t"/>
          </a:scene3d>
          <a:sp3d>
            <a:bevelT w="165100" prst="coolSlan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5BB0685C-2CA7-4BA9-BB2D-3EDE836DC652}"/>
              </a:ext>
            </a:extLst>
          </xdr:cNvPr>
          <xdr:cNvGraphicFramePr>
            <a:graphicFrameLocks/>
          </xdr:cNvGraphicFramePr>
        </xdr:nvGraphicFramePr>
        <xdr:xfrm>
          <a:off x="106680" y="3489961"/>
          <a:ext cx="2766060" cy="19964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208642</xdr:colOff>
      <xdr:row>6</xdr:row>
      <xdr:rowOff>72572</xdr:rowOff>
    </xdr:from>
    <xdr:to>
      <xdr:col>9</xdr:col>
      <xdr:colOff>87690</xdr:colOff>
      <xdr:row>17</xdr:row>
      <xdr:rowOff>142875</xdr:rowOff>
    </xdr:to>
    <xdr:graphicFrame macro="">
      <xdr:nvGraphicFramePr>
        <xdr:cNvPr id="84" name="Chart 83">
          <a:extLst>
            <a:ext uri="{FF2B5EF4-FFF2-40B4-BE49-F238E27FC236}">
              <a16:creationId xmlns:a16="http://schemas.microsoft.com/office/drawing/2014/main" id="{EE9EDE41-94C8-49E4-BD29-CB4D4139285D}"/>
            </a:ext>
            <a:ext uri="{147F2762-F138-4A5C-976F-8EAC2B608ADB}">
              <a16:predDERef xmlns:a16="http://schemas.microsoft.com/office/drawing/2014/main" pred="{9FF43C3B-2C23-7A25-37AE-4B547B8D5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8467</xdr:colOff>
      <xdr:row>6</xdr:row>
      <xdr:rowOff>59267</xdr:rowOff>
    </xdr:from>
    <xdr:to>
      <xdr:col>22</xdr:col>
      <xdr:colOff>275167</xdr:colOff>
      <xdr:row>17</xdr:row>
      <xdr:rowOff>127001</xdr:rowOff>
    </xdr:to>
    <xdr:grpSp>
      <xdr:nvGrpSpPr>
        <xdr:cNvPr id="120" name="Group 119">
          <a:extLst>
            <a:ext uri="{FF2B5EF4-FFF2-40B4-BE49-F238E27FC236}">
              <a16:creationId xmlns:a16="http://schemas.microsoft.com/office/drawing/2014/main" id="{62A646D2-310A-8444-1167-376B3D59BA58}"/>
            </a:ext>
            <a:ext uri="{147F2762-F138-4A5C-976F-8EAC2B608ADB}">
              <a16:predDERef xmlns:a16="http://schemas.microsoft.com/office/drawing/2014/main" pred="{EE9EDE41-94C8-49E4-BD29-CB4D4139285D}"/>
            </a:ext>
          </a:extLst>
        </xdr:cNvPr>
        <xdr:cNvGrpSpPr/>
      </xdr:nvGrpSpPr>
      <xdr:grpSpPr>
        <a:xfrm>
          <a:off x="6104467" y="1176867"/>
          <a:ext cx="7581900" cy="2116667"/>
          <a:chOff x="6096000" y="1156728"/>
          <a:chExt cx="7589520" cy="2097155"/>
        </a:xfrm>
        <a:noFill/>
      </xdr:grpSpPr>
      <xdr:graphicFrame macro="">
        <xdr:nvGraphicFramePr>
          <xdr:cNvPr id="103" name="Chart 102">
            <a:extLst>
              <a:ext uri="{FF2B5EF4-FFF2-40B4-BE49-F238E27FC236}">
                <a16:creationId xmlns:a16="http://schemas.microsoft.com/office/drawing/2014/main" id="{94F779D3-A18C-EF8B-F148-C5F0347CBAAD}"/>
              </a:ext>
            </a:extLst>
          </xdr:cNvPr>
          <xdr:cNvGraphicFramePr/>
        </xdr:nvGraphicFramePr>
        <xdr:xfrm>
          <a:off x="6096000" y="1156728"/>
          <a:ext cx="1698937" cy="204924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4" name="Chart 103">
            <a:extLst>
              <a:ext uri="{FF2B5EF4-FFF2-40B4-BE49-F238E27FC236}">
                <a16:creationId xmlns:a16="http://schemas.microsoft.com/office/drawing/2014/main" id="{09D69004-42DC-2683-69A3-B7869B360A41}"/>
              </a:ext>
            </a:extLst>
          </xdr:cNvPr>
          <xdr:cNvGraphicFramePr/>
        </xdr:nvGraphicFramePr>
        <xdr:xfrm>
          <a:off x="7783979" y="1160283"/>
          <a:ext cx="1959260" cy="205023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5" name="Chart 104">
            <a:extLst>
              <a:ext uri="{FF2B5EF4-FFF2-40B4-BE49-F238E27FC236}">
                <a16:creationId xmlns:a16="http://schemas.microsoft.com/office/drawing/2014/main" id="{4ABE47F0-D67F-D2E2-4180-52A3AFF8E440}"/>
              </a:ext>
            </a:extLst>
          </xdr:cNvPr>
          <xdr:cNvGraphicFramePr/>
        </xdr:nvGraphicFramePr>
        <xdr:xfrm>
          <a:off x="9732281" y="1158526"/>
          <a:ext cx="1972065" cy="206459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6" name="Chart 105">
            <a:extLst>
              <a:ext uri="{FF2B5EF4-FFF2-40B4-BE49-F238E27FC236}">
                <a16:creationId xmlns:a16="http://schemas.microsoft.com/office/drawing/2014/main" id="{A781E78C-2ABB-062F-D0BA-A888CD8409B9}"/>
              </a:ext>
            </a:extLst>
          </xdr:cNvPr>
          <xdr:cNvGraphicFramePr/>
        </xdr:nvGraphicFramePr>
        <xdr:xfrm>
          <a:off x="11693388" y="1158526"/>
          <a:ext cx="1992132" cy="209535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14</xdr:col>
      <xdr:colOff>280613</xdr:colOff>
      <xdr:row>16</xdr:row>
      <xdr:rowOff>59620</xdr:rowOff>
    </xdr:from>
    <xdr:to>
      <xdr:col>17</xdr:col>
      <xdr:colOff>26813</xdr:colOff>
      <xdr:row>17</xdr:row>
      <xdr:rowOff>169334</xdr:rowOff>
    </xdr:to>
    <xdr:sp macro="" textlink="">
      <xdr:nvSpPr>
        <xdr:cNvPr id="107" name="TextBox 106">
          <a:extLst>
            <a:ext uri="{FF2B5EF4-FFF2-40B4-BE49-F238E27FC236}">
              <a16:creationId xmlns:a16="http://schemas.microsoft.com/office/drawing/2014/main" id="{8AD83AC0-2D8F-1D87-61B7-B9B017364B17}"/>
            </a:ext>
          </a:extLst>
        </xdr:cNvPr>
        <xdr:cNvSpPr txBox="1"/>
      </xdr:nvSpPr>
      <xdr:spPr>
        <a:xfrm>
          <a:off x="8815013" y="3039887"/>
          <a:ext cx="1575000" cy="29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900" b="1">
              <a:latin typeface="Times New Roman" panose="02020603050405020304" pitchFamily="18" charset="0"/>
              <a:cs typeface="Times New Roman" panose="02020603050405020304" pitchFamily="18" charset="0"/>
            </a:rPr>
            <a:t>Vehicle Type Analysis</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57996</xdr:colOff>
      <xdr:row>9</xdr:row>
      <xdr:rowOff>1</xdr:rowOff>
    </xdr:from>
    <xdr:to>
      <xdr:col>4</xdr:col>
      <xdr:colOff>559930</xdr:colOff>
      <xdr:row>18</xdr:row>
      <xdr:rowOff>107370</xdr:rowOff>
    </xdr:to>
    <xdr:sp macro="" textlink="">
      <xdr:nvSpPr>
        <xdr:cNvPr id="117" name="Rectangle: Rounded Corners 116">
          <a:extLst>
            <a:ext uri="{FF2B5EF4-FFF2-40B4-BE49-F238E27FC236}">
              <a16:creationId xmlns:a16="http://schemas.microsoft.com/office/drawing/2014/main" id="{90F37889-83E8-C9CE-B70E-ABC157A9AADB}"/>
            </a:ext>
          </a:extLst>
        </xdr:cNvPr>
        <xdr:cNvSpPr/>
      </xdr:nvSpPr>
      <xdr:spPr>
        <a:xfrm>
          <a:off x="57996" y="1645921"/>
          <a:ext cx="2940334" cy="1753289"/>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57224</xdr:colOff>
      <xdr:row>8</xdr:row>
      <xdr:rowOff>72225</xdr:rowOff>
    </xdr:from>
    <xdr:to>
      <xdr:col>4</xdr:col>
      <xdr:colOff>499533</xdr:colOff>
      <xdr:row>17</xdr:row>
      <xdr:rowOff>59267</xdr:rowOff>
    </xdr:to>
    <xdr:sp macro="" textlink="">
      <xdr:nvSpPr>
        <xdr:cNvPr id="118" name="Rectangle: Rounded Corners 117">
          <a:extLst>
            <a:ext uri="{FF2B5EF4-FFF2-40B4-BE49-F238E27FC236}">
              <a16:creationId xmlns:a16="http://schemas.microsoft.com/office/drawing/2014/main" id="{7B5ABB4B-EB28-C5BD-5FA9-90964A1F381C}"/>
            </a:ext>
          </a:extLst>
        </xdr:cNvPr>
        <xdr:cNvSpPr/>
      </xdr:nvSpPr>
      <xdr:spPr>
        <a:xfrm>
          <a:off x="57224" y="1562358"/>
          <a:ext cx="2880709" cy="1663442"/>
        </a:xfrm>
        <a:prstGeom prst="roundRect">
          <a:avLst/>
        </a:prstGeom>
        <a:solidFill>
          <a:schemeClr val="bg1"/>
        </a:solidFill>
        <a:ln>
          <a:solidFill>
            <a:schemeClr val="bg1"/>
          </a:solidFill>
        </a:ln>
        <a:scene3d>
          <a:camera prst="orthographicFront"/>
          <a:lightRig rig="threePt" dir="t"/>
        </a:scene3d>
        <a:sp3d>
          <a:bevelT w="165100" prst="coolSlan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a:endParaRPr lang="en-IN" sz="1100"/>
        </a:p>
      </xdr:txBody>
    </xdr:sp>
    <xdr:clientData/>
  </xdr:twoCellAnchor>
  <xdr:twoCellAnchor>
    <xdr:from>
      <xdr:col>5</xdr:col>
      <xdr:colOff>79714</xdr:colOff>
      <xdr:row>0</xdr:row>
      <xdr:rowOff>122102</xdr:rowOff>
    </xdr:from>
    <xdr:to>
      <xdr:col>22</xdr:col>
      <xdr:colOff>548676</xdr:colOff>
      <xdr:row>5</xdr:row>
      <xdr:rowOff>139459</xdr:rowOff>
    </xdr:to>
    <xdr:grpSp>
      <xdr:nvGrpSpPr>
        <xdr:cNvPr id="62" name="Group 61">
          <a:extLst>
            <a:ext uri="{FF2B5EF4-FFF2-40B4-BE49-F238E27FC236}">
              <a16:creationId xmlns:a16="http://schemas.microsoft.com/office/drawing/2014/main" id="{4DD27408-D449-8A3C-DB0B-3E42D445C819}"/>
            </a:ext>
          </a:extLst>
        </xdr:cNvPr>
        <xdr:cNvGrpSpPr/>
      </xdr:nvGrpSpPr>
      <xdr:grpSpPr>
        <a:xfrm>
          <a:off x="3127714" y="122102"/>
          <a:ext cx="10832162" cy="948690"/>
          <a:chOff x="3148881" y="122102"/>
          <a:chExt cx="10904128" cy="916940"/>
        </a:xfrm>
      </xdr:grpSpPr>
      <xdr:sp macro="" textlink="">
        <xdr:nvSpPr>
          <xdr:cNvPr id="60" name="Rectangle: Rounded Corners 59">
            <a:extLst>
              <a:ext uri="{FF2B5EF4-FFF2-40B4-BE49-F238E27FC236}">
                <a16:creationId xmlns:a16="http://schemas.microsoft.com/office/drawing/2014/main" id="{B23E9838-17DB-4320-A03F-01F779797CB0}"/>
              </a:ext>
            </a:extLst>
          </xdr:cNvPr>
          <xdr:cNvSpPr/>
        </xdr:nvSpPr>
        <xdr:spPr>
          <a:xfrm>
            <a:off x="3148881" y="122102"/>
            <a:ext cx="2093881" cy="864024"/>
          </a:xfrm>
          <a:prstGeom prst="roundRect">
            <a:avLst/>
          </a:prstGeom>
          <a:ln>
            <a:no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nvGrpSpPr>
          <xdr:cNvPr id="94" name="Group 93">
            <a:extLst>
              <a:ext uri="{FF2B5EF4-FFF2-40B4-BE49-F238E27FC236}">
                <a16:creationId xmlns:a16="http://schemas.microsoft.com/office/drawing/2014/main" id="{9FF43C3B-2C23-7A25-37AE-4B547B8D52F9}"/>
              </a:ext>
            </a:extLst>
          </xdr:cNvPr>
          <xdr:cNvGrpSpPr/>
        </xdr:nvGrpSpPr>
        <xdr:grpSpPr>
          <a:xfrm>
            <a:off x="3262625" y="157919"/>
            <a:ext cx="10790384" cy="881123"/>
            <a:chOff x="3260476" y="138126"/>
            <a:chExt cx="10748970" cy="912497"/>
          </a:xfrm>
        </xdr:grpSpPr>
        <xdr:grpSp>
          <xdr:nvGrpSpPr>
            <xdr:cNvPr id="88" name="Group 87">
              <a:extLst>
                <a:ext uri="{FF2B5EF4-FFF2-40B4-BE49-F238E27FC236}">
                  <a16:creationId xmlns:a16="http://schemas.microsoft.com/office/drawing/2014/main" id="{727043B9-8D91-AC3A-7FD4-9968E3F89003}"/>
                </a:ext>
              </a:extLst>
            </xdr:cNvPr>
            <xdr:cNvGrpSpPr/>
          </xdr:nvGrpSpPr>
          <xdr:grpSpPr>
            <a:xfrm>
              <a:off x="3260476" y="138126"/>
              <a:ext cx="1842029" cy="704332"/>
              <a:chOff x="3167560" y="142312"/>
              <a:chExt cx="1842029" cy="704332"/>
            </a:xfrm>
          </xdr:grpSpPr>
          <xdr:sp macro="" textlink="">
            <xdr:nvSpPr>
              <xdr:cNvPr id="32" name="TextBox 31">
                <a:extLst>
                  <a:ext uri="{FF2B5EF4-FFF2-40B4-BE49-F238E27FC236}">
                    <a16:creationId xmlns:a16="http://schemas.microsoft.com/office/drawing/2014/main" id="{08DF6AAF-DBA5-C44B-780F-F440AB2A7279}"/>
                  </a:ext>
                </a:extLst>
              </xdr:cNvPr>
              <xdr:cNvSpPr txBox="1"/>
            </xdr:nvSpPr>
            <xdr:spPr>
              <a:xfrm>
                <a:off x="3167560" y="142312"/>
                <a:ext cx="1842029" cy="231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300" b="1" i="0" u="none" strike="noStrike">
                    <a:solidFill>
                      <a:schemeClr val="tx1">
                        <a:lumMod val="95000"/>
                        <a:lumOff val="5000"/>
                      </a:schemeClr>
                    </a:solidFill>
                    <a:latin typeface="Calibri"/>
                    <a:ea typeface="+mn-ea"/>
                    <a:cs typeface="Calibri"/>
                  </a:rPr>
                  <a:t>Average Booking Value</a:t>
                </a:r>
              </a:p>
            </xdr:txBody>
          </xdr:sp>
          <xdr:sp macro="" textlink="'Avg Booking price'!B5">
            <xdr:nvSpPr>
              <xdr:cNvPr id="33" name="TextBox 32">
                <a:extLst>
                  <a:ext uri="{FF2B5EF4-FFF2-40B4-BE49-F238E27FC236}">
                    <a16:creationId xmlns:a16="http://schemas.microsoft.com/office/drawing/2014/main" id="{6EF48BEF-E9E8-819E-A26A-BE022CF654AF}"/>
                  </a:ext>
                </a:extLst>
              </xdr:cNvPr>
              <xdr:cNvSpPr txBox="1"/>
            </xdr:nvSpPr>
            <xdr:spPr>
              <a:xfrm>
                <a:off x="3741563" y="486984"/>
                <a:ext cx="1222744" cy="35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53EE09-B18B-4F68-9B98-4020EF0A1F93}" type="TxLink">
                  <a:rPr lang="en-US"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rPr>
                  <a:pPr marL="0" indent="0" algn="ctr"/>
                  <a:t>₹ 209</a:t>
                </a:fld>
                <a:endParaRPr lang="en-IN"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endParaRPr>
              </a:p>
            </xdr:txBody>
          </xdr:sp>
        </xdr:grpSp>
        <xdr:grpSp>
          <xdr:nvGrpSpPr>
            <xdr:cNvPr id="89" name="Group 88">
              <a:extLst>
                <a:ext uri="{FF2B5EF4-FFF2-40B4-BE49-F238E27FC236}">
                  <a16:creationId xmlns:a16="http://schemas.microsoft.com/office/drawing/2014/main" id="{F4CEDBD8-6109-4A8C-2FB5-E809A9A401CD}"/>
                </a:ext>
              </a:extLst>
            </xdr:cNvPr>
            <xdr:cNvGrpSpPr/>
          </xdr:nvGrpSpPr>
          <xdr:grpSpPr>
            <a:xfrm>
              <a:off x="5335856" y="155834"/>
              <a:ext cx="2085845" cy="894789"/>
              <a:chOff x="5281131" y="160020"/>
              <a:chExt cx="2085845" cy="894789"/>
            </a:xfrm>
          </xdr:grpSpPr>
          <xdr:sp macro="" textlink="">
            <xdr:nvSpPr>
              <xdr:cNvPr id="5" name="Rectangle: Rounded Corners 4">
                <a:extLst>
                  <a:ext uri="{FF2B5EF4-FFF2-40B4-BE49-F238E27FC236}">
                    <a16:creationId xmlns:a16="http://schemas.microsoft.com/office/drawing/2014/main" id="{02D09C58-6D2E-4766-BB7A-3F1E54468A99}"/>
                  </a:ext>
                </a:extLst>
              </xdr:cNvPr>
              <xdr:cNvSpPr/>
            </xdr:nvSpPr>
            <xdr:spPr>
              <a:xfrm>
                <a:off x="5281131" y="160020"/>
                <a:ext cx="2085845" cy="894789"/>
              </a:xfrm>
              <a:prstGeom prst="roundRect">
                <a:avLst/>
              </a:prstGeom>
              <a:ln>
                <a:no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930D7423-FC0D-47F4-A487-0FB22984636B}"/>
                  </a:ext>
                </a:extLst>
              </xdr:cNvPr>
              <xdr:cNvSpPr txBox="1"/>
            </xdr:nvSpPr>
            <xdr:spPr>
              <a:xfrm>
                <a:off x="5335808" y="165651"/>
                <a:ext cx="1788638" cy="361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lumMod val="95000"/>
                        <a:lumOff val="5000"/>
                      </a:schemeClr>
                    </a:solidFill>
                  </a:rPr>
                  <a:t>Total Trip Distance</a:t>
                </a:r>
                <a:endParaRPr lang="en-IN" sz="1100" b="1">
                  <a:solidFill>
                    <a:schemeClr val="tx1">
                      <a:lumMod val="95000"/>
                      <a:lumOff val="5000"/>
                    </a:schemeClr>
                  </a:solidFill>
                </a:endParaRPr>
              </a:p>
            </xdr:txBody>
          </xdr:sp>
          <xdr:sp macro="" textlink="'Total Trip Distance'!D5">
            <xdr:nvSpPr>
              <xdr:cNvPr id="41" name="TextBox 40">
                <a:extLst>
                  <a:ext uri="{FF2B5EF4-FFF2-40B4-BE49-F238E27FC236}">
                    <a16:creationId xmlns:a16="http://schemas.microsoft.com/office/drawing/2014/main" id="{9E074B45-1AD6-4FB4-4A7E-721E6762BB9F}"/>
                  </a:ext>
                </a:extLst>
              </xdr:cNvPr>
              <xdr:cNvSpPr txBox="1"/>
            </xdr:nvSpPr>
            <xdr:spPr>
              <a:xfrm>
                <a:off x="5854149" y="492957"/>
                <a:ext cx="1442080" cy="35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67C34F-4931-4534-A265-5F956A79A8A4}" type="TxLink">
                  <a:rPr lang="en-US"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rPr>
                  <a:pPr marL="0" indent="0" algn="ctr"/>
                  <a:t>702Km</a:t>
                </a:fld>
                <a:endParaRPr lang="en-IN"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endParaRPr>
              </a:p>
            </xdr:txBody>
          </xdr:sp>
        </xdr:grpSp>
        <xdr:grpSp>
          <xdr:nvGrpSpPr>
            <xdr:cNvPr id="90" name="Group 89">
              <a:extLst>
                <a:ext uri="{FF2B5EF4-FFF2-40B4-BE49-F238E27FC236}">
                  <a16:creationId xmlns:a16="http://schemas.microsoft.com/office/drawing/2014/main" id="{F96EC76E-F13D-CF8E-1656-3960E9BCE581}"/>
                </a:ext>
              </a:extLst>
            </xdr:cNvPr>
            <xdr:cNvGrpSpPr/>
          </xdr:nvGrpSpPr>
          <xdr:grpSpPr>
            <a:xfrm>
              <a:off x="7536272" y="155834"/>
              <a:ext cx="2131355" cy="894789"/>
              <a:chOff x="7459892" y="160020"/>
              <a:chExt cx="2131355" cy="894789"/>
            </a:xfrm>
          </xdr:grpSpPr>
          <xdr:sp macro="" textlink="">
            <xdr:nvSpPr>
              <xdr:cNvPr id="6" name="Rectangle: Rounded Corners 5">
                <a:extLst>
                  <a:ext uri="{FF2B5EF4-FFF2-40B4-BE49-F238E27FC236}">
                    <a16:creationId xmlns:a16="http://schemas.microsoft.com/office/drawing/2014/main" id="{23559186-CDFA-448B-BC86-67E81950DCEE}"/>
                  </a:ext>
                </a:extLst>
              </xdr:cNvPr>
              <xdr:cNvSpPr/>
            </xdr:nvSpPr>
            <xdr:spPr>
              <a:xfrm>
                <a:off x="7459892" y="160020"/>
                <a:ext cx="2131355" cy="894789"/>
              </a:xfrm>
              <a:prstGeom prst="roundRect">
                <a:avLst/>
              </a:prstGeom>
              <a:ln>
                <a:no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42" name="TextBox 41">
                <a:extLst>
                  <a:ext uri="{FF2B5EF4-FFF2-40B4-BE49-F238E27FC236}">
                    <a16:creationId xmlns:a16="http://schemas.microsoft.com/office/drawing/2014/main" id="{86305E75-B70D-BD3D-60D6-C5C8C9C317B0}"/>
                  </a:ext>
                </a:extLst>
              </xdr:cNvPr>
              <xdr:cNvSpPr txBox="1"/>
            </xdr:nvSpPr>
            <xdr:spPr>
              <a:xfrm>
                <a:off x="7565064" y="176695"/>
                <a:ext cx="1974251" cy="285229"/>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lumMod val="95000"/>
                        <a:lumOff val="5000"/>
                      </a:schemeClr>
                    </a:solidFill>
                    <a:latin typeface="Times New Roman" panose="02020603050405020304" pitchFamily="18" charset="0"/>
                    <a:cs typeface="Times New Roman" panose="02020603050405020304" pitchFamily="18" charset="0"/>
                  </a:rPr>
                  <a:t>Average Trip Distance</a:t>
                </a:r>
              </a:p>
            </xdr:txBody>
          </xdr:sp>
          <xdr:sp macro="" textlink="'Average Trip Dist.'!D7">
            <xdr:nvSpPr>
              <xdr:cNvPr id="43" name="TextBox 42">
                <a:extLst>
                  <a:ext uri="{FF2B5EF4-FFF2-40B4-BE49-F238E27FC236}">
                    <a16:creationId xmlns:a16="http://schemas.microsoft.com/office/drawing/2014/main" id="{E119520B-65D8-B64E-033B-F0A99C6971FD}"/>
                  </a:ext>
                </a:extLst>
              </xdr:cNvPr>
              <xdr:cNvSpPr txBox="1"/>
            </xdr:nvSpPr>
            <xdr:spPr>
              <a:xfrm>
                <a:off x="8338165" y="489760"/>
                <a:ext cx="1111927" cy="35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B356C5-6754-4BAE-9622-3EDC95550825}" type="TxLink">
                  <a:rPr lang="en-US"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rPr>
                  <a:pPr marL="0" indent="0" algn="ctr"/>
                  <a:t>7Km</a:t>
                </a:fld>
                <a:endParaRPr lang="en-IN"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endParaRPr>
              </a:p>
            </xdr:txBody>
          </xdr:sp>
        </xdr:grpSp>
        <xdr:grpSp>
          <xdr:nvGrpSpPr>
            <xdr:cNvPr id="91" name="Group 90">
              <a:extLst>
                <a:ext uri="{FF2B5EF4-FFF2-40B4-BE49-F238E27FC236}">
                  <a16:creationId xmlns:a16="http://schemas.microsoft.com/office/drawing/2014/main" id="{632C3146-FAE0-B2D7-5C7A-55EFD2A97DDD}"/>
                </a:ext>
              </a:extLst>
            </xdr:cNvPr>
            <xdr:cNvGrpSpPr/>
          </xdr:nvGrpSpPr>
          <xdr:grpSpPr>
            <a:xfrm>
              <a:off x="9722352" y="155834"/>
              <a:ext cx="2055506" cy="894789"/>
              <a:chOff x="9684162" y="160020"/>
              <a:chExt cx="2055506" cy="894789"/>
            </a:xfrm>
          </xdr:grpSpPr>
          <xdr:sp macro="" textlink="">
            <xdr:nvSpPr>
              <xdr:cNvPr id="7" name="Rectangle: Rounded Corners 6">
                <a:extLst>
                  <a:ext uri="{FF2B5EF4-FFF2-40B4-BE49-F238E27FC236}">
                    <a16:creationId xmlns:a16="http://schemas.microsoft.com/office/drawing/2014/main" id="{4BE5F588-B54D-4E01-B9F0-F87FF270DBCB}"/>
                  </a:ext>
                </a:extLst>
              </xdr:cNvPr>
              <xdr:cNvSpPr/>
            </xdr:nvSpPr>
            <xdr:spPr>
              <a:xfrm>
                <a:off x="9684162" y="160020"/>
                <a:ext cx="2055506" cy="894789"/>
              </a:xfrm>
              <a:prstGeom prst="roundRect">
                <a:avLst/>
              </a:prstGeom>
              <a:ln>
                <a:no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613BB007-0F77-E001-798E-BA4ADD2BCD8C}"/>
                  </a:ext>
                </a:extLst>
              </xdr:cNvPr>
              <xdr:cNvSpPr txBox="1"/>
            </xdr:nvSpPr>
            <xdr:spPr>
              <a:xfrm>
                <a:off x="9781953" y="197113"/>
                <a:ext cx="1834117" cy="264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1">
                        <a:lumMod val="95000"/>
                        <a:lumOff val="5000"/>
                      </a:schemeClr>
                    </a:solidFill>
                    <a:latin typeface="Times New Roman" panose="02020603050405020304" pitchFamily="18" charset="0"/>
                    <a:ea typeface="+mn-ea"/>
                    <a:cs typeface="Times New Roman" panose="02020603050405020304" pitchFamily="18" charset="0"/>
                  </a:rPr>
                  <a:t>Average Trip Time</a:t>
                </a:r>
              </a:p>
            </xdr:txBody>
          </xdr:sp>
          <xdr:sp macro="" textlink="'avg trip time'!C6">
            <xdr:nvSpPr>
              <xdr:cNvPr id="48" name="TextBox 47">
                <a:extLst>
                  <a:ext uri="{FF2B5EF4-FFF2-40B4-BE49-F238E27FC236}">
                    <a16:creationId xmlns:a16="http://schemas.microsoft.com/office/drawing/2014/main" id="{7D2C6D70-F0AC-826E-5DAC-C61501759947}"/>
                  </a:ext>
                </a:extLst>
              </xdr:cNvPr>
              <xdr:cNvSpPr txBox="1"/>
            </xdr:nvSpPr>
            <xdr:spPr>
              <a:xfrm>
                <a:off x="10393326" y="461924"/>
                <a:ext cx="1222744" cy="468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718B8C-0544-461F-ACA0-259DA124A0FA}" type="TxLink">
                  <a:rPr lang="en-US"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rPr>
                  <a:pPr marL="0" indent="0" algn="ctr"/>
                  <a:t>19Min</a:t>
                </a:fld>
                <a:endParaRPr lang="en-IN" sz="2000" b="1" i="0" u="none" strike="noStrike">
                  <a:solidFill>
                    <a:schemeClr val="tx1">
                      <a:lumMod val="95000"/>
                      <a:lumOff val="5000"/>
                    </a:schemeClr>
                  </a:solidFill>
                  <a:latin typeface="Times New Roman" panose="02020603050405020304" pitchFamily="18" charset="0"/>
                  <a:ea typeface="+mn-ea"/>
                  <a:cs typeface="Times New Roman" panose="02020603050405020304" pitchFamily="18" charset="0"/>
                </a:endParaRPr>
              </a:p>
            </xdr:txBody>
          </xdr:sp>
        </xdr:grpSp>
        <xdr:grpSp>
          <xdr:nvGrpSpPr>
            <xdr:cNvPr id="92" name="Group 91">
              <a:extLst>
                <a:ext uri="{FF2B5EF4-FFF2-40B4-BE49-F238E27FC236}">
                  <a16:creationId xmlns:a16="http://schemas.microsoft.com/office/drawing/2014/main" id="{9AF34C7B-3BAD-C71E-F250-957FE99BC528}"/>
                </a:ext>
              </a:extLst>
            </xdr:cNvPr>
            <xdr:cNvGrpSpPr/>
          </xdr:nvGrpSpPr>
          <xdr:grpSpPr>
            <a:xfrm>
              <a:off x="11832582" y="155834"/>
              <a:ext cx="2176864" cy="894789"/>
              <a:chOff x="11832582" y="160020"/>
              <a:chExt cx="2176864" cy="894789"/>
            </a:xfrm>
          </xdr:grpSpPr>
          <xdr:sp macro="" textlink="">
            <xdr:nvSpPr>
              <xdr:cNvPr id="8" name="Rectangle: Rounded Corners 7">
                <a:extLst>
                  <a:ext uri="{FF2B5EF4-FFF2-40B4-BE49-F238E27FC236}">
                    <a16:creationId xmlns:a16="http://schemas.microsoft.com/office/drawing/2014/main" id="{2C3D25F5-E7F7-4A4B-A964-EAA132C45EB2}"/>
                  </a:ext>
                </a:extLst>
              </xdr:cNvPr>
              <xdr:cNvSpPr/>
            </xdr:nvSpPr>
            <xdr:spPr>
              <a:xfrm>
                <a:off x="11832582" y="160020"/>
                <a:ext cx="2176864" cy="894789"/>
              </a:xfrm>
              <a:prstGeom prst="roundRect">
                <a:avLst/>
              </a:prstGeom>
              <a:ln>
                <a:noFill/>
              </a:ln>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81A3D63B-4DCF-CBBF-7060-7D17360C329F}"/>
                  </a:ext>
                </a:extLst>
              </xdr:cNvPr>
              <xdr:cNvSpPr txBox="1"/>
            </xdr:nvSpPr>
            <xdr:spPr>
              <a:xfrm>
                <a:off x="11881113" y="202524"/>
                <a:ext cx="1030031" cy="355685"/>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Day</a:t>
                </a:r>
              </a:p>
            </xdr:txBody>
          </xdr:sp>
          <xdr:sp macro="" textlink="'Shift Analysis'!D8">
            <xdr:nvSpPr>
              <xdr:cNvPr id="53" name="Rectangle 52">
                <a:extLst>
                  <a:ext uri="{FF2B5EF4-FFF2-40B4-BE49-F238E27FC236}">
                    <a16:creationId xmlns:a16="http://schemas.microsoft.com/office/drawing/2014/main" id="{6BD4FC1D-1F13-8129-829D-F02C4474FE82}"/>
                  </a:ext>
                </a:extLst>
              </xdr:cNvPr>
              <xdr:cNvSpPr/>
            </xdr:nvSpPr>
            <xdr:spPr>
              <a:xfrm>
                <a:off x="12567655" y="267346"/>
                <a:ext cx="1010453" cy="274985"/>
              </a:xfrm>
              <a:prstGeom prst="rect">
                <a:avLst/>
              </a:prstGeom>
              <a:scene3d>
                <a:camera prst="orthographicFront"/>
                <a:lightRig rig="threePt" dir="t"/>
              </a:scene3d>
              <a:sp3d>
                <a:bevelT/>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7537EC94-3BC8-45D4-80A7-17C8A572A26E}" type="TxLink">
                  <a:rPr lang="en-US" sz="1100" b="1" i="0" u="none" strike="noStrike" cap="none" spc="50">
                    <a:ln w="0"/>
                    <a:solidFill>
                      <a:schemeClr val="bg1"/>
                    </a:solidFill>
                    <a:effectLst>
                      <a:innerShdw blurRad="63500" dist="50800" dir="13500000">
                        <a:srgbClr val="000000">
                          <a:alpha val="50000"/>
                        </a:srgbClr>
                      </a:innerShdw>
                    </a:effectLst>
                    <a:latin typeface="Times New Roman" panose="02020603050405020304" pitchFamily="18" charset="0"/>
                    <a:ea typeface="Calibri"/>
                    <a:cs typeface="Times New Roman" panose="02020603050405020304" pitchFamily="18" charset="0"/>
                  </a:rPr>
                  <a:pPr algn="ctr"/>
                  <a:t>87.04%</a:t>
                </a:fld>
                <a:endParaRPr lang="en-US"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sp macro="" textlink="'Shift Analysis'!D9">
            <xdr:nvSpPr>
              <xdr:cNvPr id="54" name="Rectangle 53">
                <a:extLst>
                  <a:ext uri="{FF2B5EF4-FFF2-40B4-BE49-F238E27FC236}">
                    <a16:creationId xmlns:a16="http://schemas.microsoft.com/office/drawing/2014/main" id="{4FD9531A-1CC1-4742-95AC-2AC31430893C}"/>
                  </a:ext>
                </a:extLst>
              </xdr:cNvPr>
              <xdr:cNvSpPr/>
            </xdr:nvSpPr>
            <xdr:spPr>
              <a:xfrm>
                <a:off x="12570753" y="672619"/>
                <a:ext cx="670726" cy="259686"/>
              </a:xfrm>
              <a:prstGeom prst="rect">
                <a:avLst/>
              </a:prstGeom>
              <a:solidFill>
                <a:schemeClr val="tx1"/>
              </a:solidFill>
              <a:ln>
                <a:noFill/>
              </a:ln>
              <a:scene3d>
                <a:camera prst="orthographicFront"/>
                <a:lightRig rig="threePt" dir="t"/>
              </a:scene3d>
              <a:sp3d>
                <a:bevelT/>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C611B0E0-064C-4836-9C5C-3339D37F75DC}" type="TxLink">
                  <a:rPr lang="en-US" sz="1050" b="1" i="0" u="none" strike="noStrike" cap="none" spc="50">
                    <a:ln w="0"/>
                    <a:solidFill>
                      <a:schemeClr val="bg1"/>
                    </a:solidFill>
                    <a:effectLst>
                      <a:innerShdw blurRad="63500" dist="50800" dir="13500000">
                        <a:srgbClr val="000000">
                          <a:alpha val="50000"/>
                        </a:srgbClr>
                      </a:innerShdw>
                    </a:effectLst>
                    <a:latin typeface="Times New Roman" panose="02020603050405020304" pitchFamily="18" charset="0"/>
                    <a:ea typeface="Calibri"/>
                    <a:cs typeface="Times New Roman" panose="02020603050405020304" pitchFamily="18" charset="0"/>
                  </a:rPr>
                  <a:pPr algn="ctr"/>
                  <a:t>12.96%</a:t>
                </a:fld>
                <a:endParaRPr lang="en-IN" sz="10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sp macro="" textlink="">
            <xdr:nvSpPr>
              <xdr:cNvPr id="55" name="TextBox 54">
                <a:extLst>
                  <a:ext uri="{FF2B5EF4-FFF2-40B4-BE49-F238E27FC236}">
                    <a16:creationId xmlns:a16="http://schemas.microsoft.com/office/drawing/2014/main" id="{66E3397A-3CD3-81D7-B611-E3B2AF2ECA24}"/>
                  </a:ext>
                </a:extLst>
              </xdr:cNvPr>
              <xdr:cNvSpPr txBox="1"/>
            </xdr:nvSpPr>
            <xdr:spPr>
              <a:xfrm>
                <a:off x="11881113" y="558209"/>
                <a:ext cx="689640" cy="263375"/>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tx1">
                        <a:lumMod val="95000"/>
                        <a:lumOff val="5000"/>
                      </a:schemeClr>
                    </a:solidFill>
                  </a:rPr>
                  <a:t>Night</a:t>
                </a:r>
              </a:p>
            </xdr:txBody>
          </xdr:sp>
        </xdr:grpSp>
      </xdr:grpSp>
      <xdr:pic>
        <xdr:nvPicPr>
          <xdr:cNvPr id="136" name="Picture 135">
            <a:extLst>
              <a:ext uri="{FF2B5EF4-FFF2-40B4-BE49-F238E27FC236}">
                <a16:creationId xmlns:a16="http://schemas.microsoft.com/office/drawing/2014/main" id="{DEB3FB65-1928-FC5D-AC10-758D6E526D32}"/>
              </a:ext>
            </a:extLst>
          </xdr:cNvPr>
          <xdr:cNvPicPr>
            <a:picLocks noChangeAspect="1"/>
          </xdr:cNvPicPr>
        </xdr:nvPicPr>
        <xdr:blipFill>
          <a:blip xmlns:r="http://schemas.openxmlformats.org/officeDocument/2006/relationships" r:embed="rId8"/>
          <a:stretch>
            <a:fillRect/>
          </a:stretch>
        </xdr:blipFill>
        <xdr:spPr>
          <a:xfrm>
            <a:off x="3355163" y="446430"/>
            <a:ext cx="641472" cy="446881"/>
          </a:xfrm>
          <a:prstGeom prst="rect">
            <a:avLst/>
          </a:prstGeom>
        </xdr:spPr>
      </xdr:pic>
    </xdr:grpSp>
    <xdr:clientData/>
  </xdr:twoCellAnchor>
  <xdr:twoCellAnchor editAs="oneCell">
    <xdr:from>
      <xdr:col>16</xdr:col>
      <xdr:colOff>166311</xdr:colOff>
      <xdr:row>2</xdr:row>
      <xdr:rowOff>111461</xdr:rowOff>
    </xdr:from>
    <xdr:to>
      <xdr:col>17</xdr:col>
      <xdr:colOff>73689</xdr:colOff>
      <xdr:row>5</xdr:row>
      <xdr:rowOff>3976</xdr:rowOff>
    </xdr:to>
    <xdr:pic>
      <xdr:nvPicPr>
        <xdr:cNvPr id="138" name="Picture 137">
          <a:extLst>
            <a:ext uri="{FF2B5EF4-FFF2-40B4-BE49-F238E27FC236}">
              <a16:creationId xmlns:a16="http://schemas.microsoft.com/office/drawing/2014/main" id="{1CC69E16-DD84-7CF6-2EA4-993575A20F1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9375" b="89063" l="1333" r="89333"/>
                  </a14:imgEffect>
                </a14:imgLayer>
              </a14:imgProps>
            </a:ext>
          </a:extLst>
        </a:blip>
        <a:stretch>
          <a:fillRect/>
        </a:stretch>
      </xdr:blipFill>
      <xdr:spPr>
        <a:xfrm>
          <a:off x="9919911" y="477221"/>
          <a:ext cx="516978" cy="441155"/>
        </a:xfrm>
        <a:prstGeom prst="rect">
          <a:avLst/>
        </a:prstGeom>
      </xdr:spPr>
    </xdr:pic>
    <xdr:clientData/>
  </xdr:twoCellAnchor>
  <xdr:twoCellAnchor editAs="oneCell">
    <xdr:from>
      <xdr:col>12</xdr:col>
      <xdr:colOff>485775</xdr:colOff>
      <xdr:row>2</xdr:row>
      <xdr:rowOff>104775</xdr:rowOff>
    </xdr:from>
    <xdr:to>
      <xdr:col>13</xdr:col>
      <xdr:colOff>276225</xdr:colOff>
      <xdr:row>4</xdr:row>
      <xdr:rowOff>114300</xdr:rowOff>
    </xdr:to>
    <xdr:pic>
      <xdr:nvPicPr>
        <xdr:cNvPr id="9" name="Picture 8">
          <a:extLst>
            <a:ext uri="{FF2B5EF4-FFF2-40B4-BE49-F238E27FC236}">
              <a16:creationId xmlns:a16="http://schemas.microsoft.com/office/drawing/2014/main" id="{62470761-00BB-5C2A-0912-A6DA7A2FC254}"/>
            </a:ext>
            <a:ext uri="{147F2762-F138-4A5C-976F-8EAC2B608ADB}">
              <a16:predDERef xmlns:a16="http://schemas.microsoft.com/office/drawing/2014/main" pred="{86379450-6B78-C584-6302-7E5B8DB45AE2}"/>
            </a:ext>
          </a:extLst>
        </xdr:cNvPr>
        <xdr:cNvPicPr>
          <a:picLocks noChangeAspect="1"/>
        </xdr:cNvPicPr>
      </xdr:nvPicPr>
      <xdr:blipFill>
        <a:blip xmlns:r="http://schemas.openxmlformats.org/officeDocument/2006/relationships" r:embed="rId11" cstate="print"/>
        <a:stretch>
          <a:fillRect/>
        </a:stretch>
      </xdr:blipFill>
      <xdr:spPr>
        <a:xfrm>
          <a:off x="7800975" y="485775"/>
          <a:ext cx="400050" cy="390525"/>
        </a:xfrm>
        <a:prstGeom prst="rect">
          <a:avLst/>
        </a:prstGeom>
      </xdr:spPr>
    </xdr:pic>
    <xdr:clientData/>
  </xdr:twoCellAnchor>
  <xdr:twoCellAnchor editAs="oneCell">
    <xdr:from>
      <xdr:col>9</xdr:col>
      <xdr:colOff>85725</xdr:colOff>
      <xdr:row>2</xdr:row>
      <xdr:rowOff>161925</xdr:rowOff>
    </xdr:from>
    <xdr:to>
      <xdr:col>9</xdr:col>
      <xdr:colOff>428625</xdr:colOff>
      <xdr:row>4</xdr:row>
      <xdr:rowOff>123825</xdr:rowOff>
    </xdr:to>
    <xdr:pic>
      <xdr:nvPicPr>
        <xdr:cNvPr id="10" name="Picture 9">
          <a:extLst>
            <a:ext uri="{FF2B5EF4-FFF2-40B4-BE49-F238E27FC236}">
              <a16:creationId xmlns:a16="http://schemas.microsoft.com/office/drawing/2014/main" id="{DCA615CE-0CA2-5030-150F-D9A6CA2ADE95}"/>
            </a:ext>
            <a:ext uri="{147F2762-F138-4A5C-976F-8EAC2B608ADB}">
              <a16:predDERef xmlns:a16="http://schemas.microsoft.com/office/drawing/2014/main" pred="{62470761-00BB-5C2A-0912-A6DA7A2FC254}"/>
            </a:ext>
          </a:extLst>
        </xdr:cNvPr>
        <xdr:cNvPicPr>
          <a:picLocks noChangeAspect="1"/>
        </xdr:cNvPicPr>
      </xdr:nvPicPr>
      <xdr:blipFill>
        <a:blip xmlns:r="http://schemas.openxmlformats.org/officeDocument/2006/relationships" r:embed="rId12" cstate="print"/>
        <a:stretch>
          <a:fillRect/>
        </a:stretch>
      </xdr:blipFill>
      <xdr:spPr>
        <a:xfrm>
          <a:off x="5572125" y="542925"/>
          <a:ext cx="342900" cy="342900"/>
        </a:xfrm>
        <a:prstGeom prst="rect">
          <a:avLst/>
        </a:prstGeom>
      </xdr:spPr>
    </xdr:pic>
    <xdr:clientData/>
  </xdr:twoCellAnchor>
  <xdr:twoCellAnchor>
    <xdr:from>
      <xdr:col>21</xdr:col>
      <xdr:colOff>423332</xdr:colOff>
      <xdr:row>7</xdr:row>
      <xdr:rowOff>17991</xdr:rowOff>
    </xdr:from>
    <xdr:to>
      <xdr:col>23</xdr:col>
      <xdr:colOff>33862</xdr:colOff>
      <xdr:row>16</xdr:row>
      <xdr:rowOff>114299</xdr:rowOff>
    </xdr:to>
    <xdr:grpSp>
      <xdr:nvGrpSpPr>
        <xdr:cNvPr id="22" name="Group 21">
          <a:extLst>
            <a:ext uri="{FF2B5EF4-FFF2-40B4-BE49-F238E27FC236}">
              <a16:creationId xmlns:a16="http://schemas.microsoft.com/office/drawing/2014/main" id="{FDB01464-7FE8-6A07-2FCC-538408EF89C4}"/>
            </a:ext>
          </a:extLst>
        </xdr:cNvPr>
        <xdr:cNvGrpSpPr/>
      </xdr:nvGrpSpPr>
      <xdr:grpSpPr>
        <a:xfrm>
          <a:off x="13224932" y="1321858"/>
          <a:ext cx="829730" cy="1772708"/>
          <a:chOff x="13045797" y="1283460"/>
          <a:chExt cx="820550" cy="1725456"/>
        </a:xfrm>
      </xdr:grpSpPr>
      <xdr:pic>
        <xdr:nvPicPr>
          <xdr:cNvPr id="132" name="Picture 131">
            <a:extLst>
              <a:ext uri="{FF2B5EF4-FFF2-40B4-BE49-F238E27FC236}">
                <a16:creationId xmlns:a16="http://schemas.microsoft.com/office/drawing/2014/main" id="{084513B5-8E6E-A74B-8172-15CF4FBC2C4E}"/>
              </a:ext>
              <a:ext uri="{147F2762-F138-4A5C-976F-8EAC2B608ADB}">
                <a16:predDERef xmlns:a16="http://schemas.microsoft.com/office/drawing/2014/main" pred="{02C91CE0-B10B-E064-2B0A-EC85F18A8347}"/>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10000" b="90000" l="1770" r="89381"/>
                    </a14:imgEffect>
                  </a14:imgLayer>
                </a14:imgProps>
              </a:ext>
            </a:extLst>
          </a:blip>
          <a:stretch>
            <a:fillRect/>
          </a:stretch>
        </xdr:blipFill>
        <xdr:spPr>
          <a:xfrm>
            <a:off x="13107304" y="1531896"/>
            <a:ext cx="736207" cy="324993"/>
          </a:xfrm>
          <a:prstGeom prst="rect">
            <a:avLst/>
          </a:prstGeom>
          <a:ln>
            <a:noFill/>
          </a:ln>
        </xdr:spPr>
      </xdr:pic>
      <xdr:pic>
        <xdr:nvPicPr>
          <xdr:cNvPr id="135" name="Picture 134">
            <a:extLst>
              <a:ext uri="{FF2B5EF4-FFF2-40B4-BE49-F238E27FC236}">
                <a16:creationId xmlns:a16="http://schemas.microsoft.com/office/drawing/2014/main" id="{C3E6CD19-5E44-F293-4153-D95B723345C9}"/>
              </a:ext>
              <a:ext uri="{147F2762-F138-4A5C-976F-8EAC2B608ADB}">
                <a16:predDERef xmlns:a16="http://schemas.microsoft.com/office/drawing/2014/main" pred="{D869572F-DBE2-6829-7E6B-F5F37DE555A6}"/>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10000" b="90000" l="10000" r="90000"/>
                    </a14:imgEffect>
                  </a14:imgLayer>
                </a14:imgProps>
              </a:ext>
            </a:extLst>
          </a:blip>
          <a:stretch>
            <a:fillRect/>
          </a:stretch>
        </xdr:blipFill>
        <xdr:spPr>
          <a:xfrm>
            <a:off x="13156835" y="1283460"/>
            <a:ext cx="528562" cy="258538"/>
          </a:xfrm>
          <a:prstGeom prst="rect">
            <a:avLst/>
          </a:prstGeom>
        </xdr:spPr>
      </xdr:pic>
      <xdr:pic>
        <xdr:nvPicPr>
          <xdr:cNvPr id="139" name="Picture 138">
            <a:extLst>
              <a:ext uri="{FF2B5EF4-FFF2-40B4-BE49-F238E27FC236}">
                <a16:creationId xmlns:a16="http://schemas.microsoft.com/office/drawing/2014/main" id="{2631515D-45C0-88B9-C5A4-3BB239681CF6}"/>
              </a:ext>
              <a:ext uri="{147F2762-F138-4A5C-976F-8EAC2B608ADB}">
                <a16:predDERef xmlns:a16="http://schemas.microsoft.com/office/drawing/2014/main" pred="{1CC69E16-DD84-7CF6-2EA4-993575A20F10}"/>
              </a:ext>
            </a:extLst>
          </xdr:cNvPr>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backgroundRemoval t="3061" b="27553" l="10000" r="90000"/>
                    </a14:imgEffect>
                  </a14:imgLayer>
                </a14:imgProps>
              </a:ext>
            </a:extLst>
          </a:blip>
          <a:srcRect b="69386"/>
          <a:stretch>
            <a:fillRect/>
          </a:stretch>
        </xdr:blipFill>
        <xdr:spPr>
          <a:xfrm>
            <a:off x="13066480" y="1818168"/>
            <a:ext cx="682977" cy="350902"/>
          </a:xfrm>
          <a:prstGeom prst="rect">
            <a:avLst/>
          </a:prstGeom>
        </xdr:spPr>
      </xdr:pic>
      <xdr:pic>
        <xdr:nvPicPr>
          <xdr:cNvPr id="140" name="Picture 139">
            <a:extLst>
              <a:ext uri="{FF2B5EF4-FFF2-40B4-BE49-F238E27FC236}">
                <a16:creationId xmlns:a16="http://schemas.microsoft.com/office/drawing/2014/main" id="{B4AB46A6-C979-0324-D946-721DAE1624AA}"/>
              </a:ext>
              <a:ext uri="{147F2762-F138-4A5C-976F-8EAC2B608ADB}">
                <a16:predDERef xmlns:a16="http://schemas.microsoft.com/office/drawing/2014/main" pred="{2631515D-45C0-88B9-C5A4-3BB239681CF6}"/>
              </a:ext>
            </a:extLst>
          </xdr:cNvPr>
          <xdr:cNvPicPr>
            <a:picLocks noChangeAspect="1"/>
          </xdr:cNvPicPr>
        </xdr:nvPicPr>
        <xdr:blipFill rotWithShape="1">
          <a:blip xmlns:r="http://schemas.openxmlformats.org/officeDocument/2006/relationships" r:embed="rId19">
            <a:extLst>
              <a:ext uri="{BEBA8EAE-BF5A-486C-A8C5-ECC9F3942E4B}">
                <a14:imgProps xmlns:a14="http://schemas.microsoft.com/office/drawing/2010/main">
                  <a14:imgLayer r:embed="rId18">
                    <a14:imgEffect>
                      <a14:backgroundRemoval t="31892" b="61081" l="0" r="89381"/>
                    </a14:imgEffect>
                  </a14:imgLayer>
                </a14:imgProps>
              </a:ext>
            </a:extLst>
          </a:blip>
          <a:srcRect t="29405" b="38811"/>
          <a:stretch>
            <a:fillRect/>
          </a:stretch>
        </xdr:blipFill>
        <xdr:spPr>
          <a:xfrm>
            <a:off x="13045797" y="2033814"/>
            <a:ext cx="820550" cy="402585"/>
          </a:xfrm>
          <a:prstGeom prst="rect">
            <a:avLst/>
          </a:prstGeom>
        </xdr:spPr>
      </xdr:pic>
      <xdr:pic>
        <xdr:nvPicPr>
          <xdr:cNvPr id="141" name="Picture 140">
            <a:extLst>
              <a:ext uri="{FF2B5EF4-FFF2-40B4-BE49-F238E27FC236}">
                <a16:creationId xmlns:a16="http://schemas.microsoft.com/office/drawing/2014/main" id="{86379450-6B78-C584-6302-7E5B8DB45AE2}"/>
              </a:ext>
              <a:ext uri="{147F2762-F138-4A5C-976F-8EAC2B608ADB}">
                <a16:predDERef xmlns:a16="http://schemas.microsoft.com/office/drawing/2014/main" pred="{B4AB46A6-C979-0324-D946-721DAE1624AA}"/>
              </a:ext>
            </a:extLst>
          </xdr:cNvPr>
          <xdr:cNvPicPr>
            <a:picLocks noChangeAspect="1"/>
          </xdr:cNvPicPr>
        </xdr:nvPicPr>
        <xdr:blipFill rotWithShape="1">
          <a:blip xmlns:r="http://schemas.openxmlformats.org/officeDocument/2006/relationships" r:embed="rId20">
            <a:extLst>
              <a:ext uri="{BEBA8EAE-BF5A-486C-A8C5-ECC9F3942E4B}">
                <a14:imgProps xmlns:a14="http://schemas.microsoft.com/office/drawing/2010/main">
                  <a14:imgLayer r:embed="rId18">
                    <a14:imgEffect>
                      <a14:backgroundRemoval t="73827" b="97092" l="10000" r="90000"/>
                    </a14:imgEffect>
                  </a14:imgLayer>
                </a14:imgProps>
              </a:ext>
            </a:extLst>
          </a:blip>
          <a:srcRect t="70919"/>
          <a:stretch>
            <a:fillRect/>
          </a:stretch>
        </xdr:blipFill>
        <xdr:spPr>
          <a:xfrm>
            <a:off x="13141851" y="2452649"/>
            <a:ext cx="699388" cy="313157"/>
          </a:xfrm>
          <a:prstGeom prst="rect">
            <a:avLst/>
          </a:prstGeom>
        </xdr:spPr>
      </xdr:pic>
      <xdr:pic>
        <xdr:nvPicPr>
          <xdr:cNvPr id="18" name="Picture 17">
            <a:extLst>
              <a:ext uri="{FF2B5EF4-FFF2-40B4-BE49-F238E27FC236}">
                <a16:creationId xmlns:a16="http://schemas.microsoft.com/office/drawing/2014/main" id="{78BEC514-4A1C-CC8B-81F9-7CE9F5E4D581}"/>
              </a:ext>
              <a:ext uri="{147F2762-F138-4A5C-976F-8EAC2B608ADB}">
                <a16:predDERef xmlns:a16="http://schemas.microsoft.com/office/drawing/2014/main" pred="{DCA615CE-0CA2-5030-150F-D9A6CA2ADE95}"/>
              </a:ext>
            </a:extLst>
          </xdr:cNvPr>
          <xdr:cNvPicPr>
            <a:picLocks noChangeAspect="1"/>
          </xdr:cNvPicPr>
        </xdr:nvPicPr>
        <xdr:blipFill>
          <a:blip xmlns:r="http://schemas.openxmlformats.org/officeDocument/2006/relationships" r:embed="rId21" cstate="print"/>
          <a:stretch>
            <a:fillRect/>
          </a:stretch>
        </xdr:blipFill>
        <xdr:spPr>
          <a:xfrm>
            <a:off x="13167568" y="2741763"/>
            <a:ext cx="509512" cy="267153"/>
          </a:xfrm>
          <a:prstGeom prst="rect">
            <a:avLst/>
          </a:prstGeom>
        </xdr:spPr>
      </xdr:pic>
    </xdr:grpSp>
    <xdr:clientData/>
  </xdr:twoCellAnchor>
  <xdr:twoCellAnchor>
    <xdr:from>
      <xdr:col>5</xdr:col>
      <xdr:colOff>50800</xdr:colOff>
      <xdr:row>18</xdr:row>
      <xdr:rowOff>76200</xdr:rowOff>
    </xdr:from>
    <xdr:to>
      <xdr:col>13</xdr:col>
      <xdr:colOff>258354</xdr:colOff>
      <xdr:row>30</xdr:row>
      <xdr:rowOff>96762</xdr:rowOff>
    </xdr:to>
    <xdr:grpSp>
      <xdr:nvGrpSpPr>
        <xdr:cNvPr id="21" name="Group 20">
          <a:extLst>
            <a:ext uri="{FF2B5EF4-FFF2-40B4-BE49-F238E27FC236}">
              <a16:creationId xmlns:a16="http://schemas.microsoft.com/office/drawing/2014/main" id="{DC6A32F4-6B55-59C8-BA99-9A8A8803201E}"/>
            </a:ext>
          </a:extLst>
        </xdr:cNvPr>
        <xdr:cNvGrpSpPr/>
      </xdr:nvGrpSpPr>
      <xdr:grpSpPr>
        <a:xfrm>
          <a:off x="3098800" y="3429000"/>
          <a:ext cx="5084354" cy="2255762"/>
          <a:chOff x="3531810" y="3398762"/>
          <a:chExt cx="4475238" cy="2104571"/>
        </a:xfrm>
      </xdr:grpSpPr>
      <xdr:sp macro="" textlink="">
        <xdr:nvSpPr>
          <xdr:cNvPr id="19" name="Rectangle: Rounded Corners 18">
            <a:extLst>
              <a:ext uri="{FF2B5EF4-FFF2-40B4-BE49-F238E27FC236}">
                <a16:creationId xmlns:a16="http://schemas.microsoft.com/office/drawing/2014/main" id="{AA7A2E67-A6CB-B1D2-1615-93901DD8F283}"/>
              </a:ext>
            </a:extLst>
          </xdr:cNvPr>
          <xdr:cNvSpPr/>
        </xdr:nvSpPr>
        <xdr:spPr>
          <a:xfrm>
            <a:off x="3531810" y="3398762"/>
            <a:ext cx="4475238" cy="2104571"/>
          </a:xfrm>
          <a:prstGeom prst="roundRect">
            <a:avLst/>
          </a:prstGeom>
          <a:solidFill>
            <a:schemeClr val="bg1"/>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601B5EC8-7475-4713-9074-8EE1F01C0314}"/>
              </a:ext>
            </a:extLst>
          </xdr:cNvPr>
          <xdr:cNvGraphicFramePr>
            <a:graphicFrameLocks/>
          </xdr:cNvGraphicFramePr>
        </xdr:nvGraphicFramePr>
        <xdr:xfrm>
          <a:off x="3580191" y="3519714"/>
          <a:ext cx="4269619" cy="1814286"/>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0</xdr:col>
      <xdr:colOff>0</xdr:colOff>
      <xdr:row>0</xdr:row>
      <xdr:rowOff>24013</xdr:rowOff>
    </xdr:from>
    <xdr:to>
      <xdr:col>5</xdr:col>
      <xdr:colOff>112798</xdr:colOff>
      <xdr:row>7</xdr:row>
      <xdr:rowOff>41557</xdr:rowOff>
    </xdr:to>
    <xdr:grpSp>
      <xdr:nvGrpSpPr>
        <xdr:cNvPr id="59" name="Group 58">
          <a:extLst>
            <a:ext uri="{FF2B5EF4-FFF2-40B4-BE49-F238E27FC236}">
              <a16:creationId xmlns:a16="http://schemas.microsoft.com/office/drawing/2014/main" id="{98E65DE2-32A5-3E5E-8E92-E8D521D6329B}"/>
            </a:ext>
          </a:extLst>
        </xdr:cNvPr>
        <xdr:cNvGrpSpPr/>
      </xdr:nvGrpSpPr>
      <xdr:grpSpPr>
        <a:xfrm>
          <a:off x="0" y="24013"/>
          <a:ext cx="3160798" cy="1321411"/>
          <a:chOff x="-76431" y="-43048"/>
          <a:chExt cx="1204181" cy="129624"/>
        </a:xfrm>
      </xdr:grpSpPr>
      <xdr:grpSp>
        <xdr:nvGrpSpPr>
          <xdr:cNvPr id="2" name="Group 22">
            <a:extLst>
              <a:ext uri="{FF2B5EF4-FFF2-40B4-BE49-F238E27FC236}">
                <a16:creationId xmlns:a16="http://schemas.microsoft.com/office/drawing/2014/main" id="{DF61A5FA-129F-DCC4-75AF-16FD0BD30818}"/>
              </a:ext>
              <a:ext uri="{147F2762-F138-4A5C-976F-8EAC2B608ADB}">
                <a16:predDERef xmlns:a16="http://schemas.microsoft.com/office/drawing/2014/main" pred="{73665CEB-B2E6-A93D-B58A-DB6D45AB8A29}"/>
              </a:ext>
            </a:extLst>
          </xdr:cNvPr>
          <xdr:cNvGrpSpPr/>
        </xdr:nvGrpSpPr>
        <xdr:grpSpPr>
          <a:xfrm>
            <a:off x="-76431" y="-43048"/>
            <a:ext cx="1204181" cy="129624"/>
            <a:chOff x="-108274" y="1"/>
            <a:chExt cx="2797923" cy="1206044"/>
          </a:xfrm>
        </xdr:grpSpPr>
        <xdr:sp macro="" textlink="">
          <xdr:nvSpPr>
            <xdr:cNvPr id="24" name="Rectangle: Rounded Corners 23">
              <a:extLst>
                <a:ext uri="{FF2B5EF4-FFF2-40B4-BE49-F238E27FC236}">
                  <a16:creationId xmlns:a16="http://schemas.microsoft.com/office/drawing/2014/main" id="{811AEE76-3B9D-E58A-6BF2-17E87DAA5523}"/>
                </a:ext>
              </a:extLst>
            </xdr:cNvPr>
            <xdr:cNvSpPr/>
          </xdr:nvSpPr>
          <xdr:spPr>
            <a:xfrm>
              <a:off x="-108274" y="1"/>
              <a:ext cx="2628815" cy="1206044"/>
            </a:xfrm>
            <a:prstGeom prst="roundRect">
              <a:avLst/>
            </a:prstGeom>
            <a:solidFill>
              <a:schemeClr val="tx1"/>
            </a:solidFill>
            <a:scene3d>
              <a:camera prst="orthographicFront"/>
              <a:lightRig rig="threePt" dir="t"/>
            </a:scene3d>
            <a:sp3d>
              <a:bevelT w="165100" prst="coolSlant"/>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2443D42F-95B2-F7E4-76EC-1E9A5AF98987}"/>
                </a:ext>
              </a:extLst>
            </xdr:cNvPr>
            <xdr:cNvGrpSpPr/>
          </xdr:nvGrpSpPr>
          <xdr:grpSpPr>
            <a:xfrm>
              <a:off x="-108274" y="805607"/>
              <a:ext cx="2797923" cy="398608"/>
              <a:chOff x="-108274" y="805607"/>
              <a:chExt cx="2797923" cy="398608"/>
            </a:xfrm>
          </xdr:grpSpPr>
          <xdr:sp macro="" textlink="">
            <xdr:nvSpPr>
              <xdr:cNvPr id="26" name="TextBox 25">
                <a:extLst>
                  <a:ext uri="{FF2B5EF4-FFF2-40B4-BE49-F238E27FC236}">
                    <a16:creationId xmlns:a16="http://schemas.microsoft.com/office/drawing/2014/main" id="{57B228F6-0DDA-0B09-F490-5FE67288EDCF}"/>
                  </a:ext>
                </a:extLst>
              </xdr:cNvPr>
              <xdr:cNvSpPr txBox="1"/>
            </xdr:nvSpPr>
            <xdr:spPr>
              <a:xfrm>
                <a:off x="-46041" y="805607"/>
                <a:ext cx="1261210" cy="200984"/>
              </a:xfrm>
              <a:prstGeom prst="rect">
                <a:avLst/>
              </a:prstGeom>
              <a:noFill/>
              <a:ln w="9525" cmpd="sng">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cap="none" spc="50">
                    <a:ln w="0"/>
                    <a:solidFill>
                      <a:schemeClr val="bg1"/>
                    </a:solidFill>
                    <a:effectLst>
                      <a:innerShdw blurRad="63500" dist="50800" dir="13500000">
                        <a:srgbClr val="000000">
                          <a:alpha val="50000"/>
                        </a:srgbClr>
                      </a:innerShdw>
                    </a:effectLst>
                    <a:latin typeface="+mn-lt"/>
                    <a:ea typeface="+mn-ea"/>
                    <a:cs typeface="+mn-cs"/>
                  </a:rPr>
                  <a:t>Total Booking</a:t>
                </a:r>
              </a:p>
            </xdr:txBody>
          </xdr:sp>
          <xdr:sp macro="" textlink="">
            <xdr:nvSpPr>
              <xdr:cNvPr id="29" name="TextBox 28">
                <a:extLst>
                  <a:ext uri="{FF2B5EF4-FFF2-40B4-BE49-F238E27FC236}">
                    <a16:creationId xmlns:a16="http://schemas.microsoft.com/office/drawing/2014/main" id="{24B1C338-6AF6-D5F8-D4C1-B607B74DD46A}"/>
                  </a:ext>
                </a:extLst>
              </xdr:cNvPr>
              <xdr:cNvSpPr txBox="1"/>
            </xdr:nvSpPr>
            <xdr:spPr>
              <a:xfrm>
                <a:off x="1067514" y="809717"/>
                <a:ext cx="1622135" cy="378785"/>
              </a:xfrm>
              <a:prstGeom prst="rect">
                <a:avLst/>
              </a:prstGeom>
              <a:noFill/>
              <a:ln w="9525" cmpd="sng">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cap="none" spc="50">
                    <a:ln w="0"/>
                    <a:solidFill>
                      <a:schemeClr val="bg1"/>
                    </a:solidFill>
                    <a:effectLst>
                      <a:innerShdw blurRad="63500" dist="50800" dir="13500000">
                        <a:srgbClr val="000000">
                          <a:alpha val="50000"/>
                        </a:srgbClr>
                      </a:innerShdw>
                    </a:effectLst>
                    <a:latin typeface="+mn-lt"/>
                    <a:cs typeface="Times New Roman" panose="02020603050405020304" pitchFamily="18" charset="0"/>
                  </a:rPr>
                  <a:t>Total Booking Value</a:t>
                </a:r>
                <a:endParaRPr lang="en-IN" sz="1100" b="1">
                  <a:solidFill>
                    <a:schemeClr val="bg1"/>
                  </a:solidFill>
                  <a:latin typeface="+mn-lt"/>
                  <a:cs typeface="Times New Roman" panose="02020603050405020304" pitchFamily="18" charset="0"/>
                </a:endParaRPr>
              </a:p>
            </xdr:txBody>
          </xdr:sp>
          <xdr:sp macro="" textlink="'total booking'!E15">
            <xdr:nvSpPr>
              <xdr:cNvPr id="34" name="TextBox 33">
                <a:extLst>
                  <a:ext uri="{FF2B5EF4-FFF2-40B4-BE49-F238E27FC236}">
                    <a16:creationId xmlns:a16="http://schemas.microsoft.com/office/drawing/2014/main" id="{61149A98-C7F6-69AA-64AD-915F5810E903}"/>
                  </a:ext>
                </a:extLst>
              </xdr:cNvPr>
              <xdr:cNvSpPr txBox="1"/>
            </xdr:nvSpPr>
            <xdr:spPr>
              <a:xfrm>
                <a:off x="-108274" y="953365"/>
                <a:ext cx="1349479" cy="250850"/>
              </a:xfrm>
              <a:prstGeom prst="rect">
                <a:avLst/>
              </a:prstGeom>
              <a:noFill/>
              <a:ln w="9525" cmpd="sng">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CFC2AC-4579-45AC-A42F-D37AE0A799B6}" type="TxLink">
                  <a:rPr lang="en-US" sz="1200" b="1" i="0" u="none" strike="noStrike">
                    <a:solidFill>
                      <a:schemeClr val="bg1"/>
                    </a:solidFill>
                    <a:latin typeface="Calibri"/>
                    <a:cs typeface="Calibri"/>
                  </a:rPr>
                  <a:pPr algn="ctr"/>
                  <a:t>108</a:t>
                </a:fld>
                <a:endParaRPr lang="en-US" sz="1100" b="1">
                  <a:solidFill>
                    <a:schemeClr val="bg1"/>
                  </a:solidFill>
                </a:endParaRPr>
              </a:p>
            </xdr:txBody>
          </xdr:sp>
          <xdr:sp macro="" textlink="'total booking value'!D5">
            <xdr:nvSpPr>
              <xdr:cNvPr id="35" name="TextBox 34">
                <a:extLst>
                  <a:ext uri="{FF2B5EF4-FFF2-40B4-BE49-F238E27FC236}">
                    <a16:creationId xmlns:a16="http://schemas.microsoft.com/office/drawing/2014/main" id="{8C9499F3-0ACB-63CF-DBB9-311870569707}"/>
                  </a:ext>
                </a:extLst>
              </xdr:cNvPr>
              <xdr:cNvSpPr txBox="1"/>
            </xdr:nvSpPr>
            <xdr:spPr>
              <a:xfrm>
                <a:off x="1348936" y="927975"/>
                <a:ext cx="966006" cy="223733"/>
              </a:xfrm>
              <a:prstGeom prst="rect">
                <a:avLst/>
              </a:prstGeom>
              <a:noFill/>
              <a:ln w="9525" cmpd="sng">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888A40-5C77-4493-9FAE-B5B0A6AD0CBC}" type="TxLink">
                  <a:rPr lang="en-US" sz="1200" b="1" i="0" u="none" strike="noStrike" cap="none" spc="50">
                    <a:ln w="0"/>
                    <a:solidFill>
                      <a:schemeClr val="bg1"/>
                    </a:solidFill>
                    <a:effectLst>
                      <a:innerShdw blurRad="63500" dist="50800" dir="13500000">
                        <a:srgbClr val="000000">
                          <a:alpha val="50000"/>
                        </a:srgbClr>
                      </a:innerShdw>
                    </a:effectLst>
                    <a:latin typeface="Calibri"/>
                    <a:cs typeface="Calibri"/>
                  </a:rPr>
                  <a:pPr algn="ctr"/>
                  <a:t>22553</a:t>
                </a:fld>
                <a:endParaRPr lang="en-IN" sz="1200">
                  <a:solidFill>
                    <a:schemeClr val="bg1"/>
                  </a:solidFill>
                </a:endParaRPr>
              </a:p>
            </xdr:txBody>
          </xdr:sp>
        </xdr:grpSp>
      </xdr:grpSp>
      <xdr:pic>
        <xdr:nvPicPr>
          <xdr:cNvPr id="36" name="Picture 35">
            <a:extLst>
              <a:ext uri="{FF2B5EF4-FFF2-40B4-BE49-F238E27FC236}">
                <a16:creationId xmlns:a16="http://schemas.microsoft.com/office/drawing/2014/main" id="{DDD4B7CA-A563-857B-FFD9-E38082B6F471}"/>
              </a:ext>
            </a:extLst>
          </xdr:cNvPr>
          <xdr:cNvPicPr>
            <a:picLocks noChangeAspect="1"/>
          </xdr:cNvPicPr>
        </xdr:nvPicPr>
        <xdr:blipFill>
          <a:blip xmlns:r="http://schemas.openxmlformats.org/officeDocument/2006/relationships" r:embed="rId23"/>
          <a:stretch>
            <a:fillRect/>
          </a:stretch>
        </xdr:blipFill>
        <xdr:spPr>
          <a:xfrm>
            <a:off x="-9681" y="-27963"/>
            <a:ext cx="552561" cy="55646"/>
          </a:xfrm>
          <a:prstGeom prst="rect">
            <a:avLst/>
          </a:prstGeom>
          <a:scene3d>
            <a:camera prst="orthographicFront"/>
            <a:lightRig rig="threePt" dir="t"/>
          </a:scene3d>
          <a:sp3d>
            <a:bevelT w="165100" prst="coolSlant"/>
          </a:sp3d>
        </xdr:spPr>
      </xdr:pic>
      <xdr:pic>
        <xdr:nvPicPr>
          <xdr:cNvPr id="37" name="Picture 36">
            <a:extLst>
              <a:ext uri="{FF2B5EF4-FFF2-40B4-BE49-F238E27FC236}">
                <a16:creationId xmlns:a16="http://schemas.microsoft.com/office/drawing/2014/main" id="{3343F240-B2EA-7E1E-BDB5-A5692F199DB6}"/>
              </a:ext>
            </a:extLst>
          </xdr:cNvPr>
          <xdr:cNvPicPr>
            <a:picLocks noChangeAspect="1"/>
          </xdr:cNvPicPr>
        </xdr:nvPicPr>
        <xdr:blipFill>
          <a:blip xmlns:r="http://schemas.openxmlformats.org/officeDocument/2006/relationships" r:embed="rId24"/>
          <a:stretch>
            <a:fillRect/>
          </a:stretch>
        </xdr:blipFill>
        <xdr:spPr>
          <a:xfrm>
            <a:off x="671903" y="-31285"/>
            <a:ext cx="297771" cy="68935"/>
          </a:xfrm>
          <a:prstGeom prst="rect">
            <a:avLst/>
          </a:prstGeom>
          <a:scene3d>
            <a:camera prst="orthographicFront"/>
            <a:lightRig rig="threePt" dir="t"/>
          </a:scene3d>
          <a:sp3d>
            <a:bevelT w="165100" prst="coolSlant"/>
          </a:sp3d>
        </xdr:spPr>
      </xdr:pic>
    </xdr:grpSp>
    <xdr:clientData/>
  </xdr:twoCellAnchor>
  <xdr:twoCellAnchor editAs="oneCell">
    <xdr:from>
      <xdr:col>0</xdr:col>
      <xdr:colOff>201083</xdr:colOff>
      <xdr:row>9</xdr:row>
      <xdr:rowOff>50799</xdr:rowOff>
    </xdr:from>
    <xdr:to>
      <xdr:col>4</xdr:col>
      <xdr:colOff>279400</xdr:colOff>
      <xdr:row>16</xdr:row>
      <xdr:rowOff>152399</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31112B82-EA76-4AA3-BCE0-AD29D535A10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01083" y="1727199"/>
              <a:ext cx="2516717" cy="1405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0.31826</cdr:x>
      <cdr:y>0.93814</cdr:y>
    </cdr:from>
    <cdr:to>
      <cdr:x>0.67077</cdr:x>
      <cdr:y>0.98232</cdr:y>
    </cdr:to>
    <cdr:sp macro="" textlink="">
      <cdr:nvSpPr>
        <cdr:cNvPr id="2" name="TextBox 1">
          <a:extLst xmlns:a="http://schemas.openxmlformats.org/drawingml/2006/main">
            <a:ext uri="{FF2B5EF4-FFF2-40B4-BE49-F238E27FC236}">
              <a16:creationId xmlns:a16="http://schemas.microsoft.com/office/drawing/2014/main" id="{7688E071-8824-665C-C17F-B49EF20C7E92}"/>
            </a:ext>
          </a:extLst>
        </cdr:cNvPr>
        <cdr:cNvSpPr txBox="1"/>
      </cdr:nvSpPr>
      <cdr:spPr>
        <a:xfrm xmlns:a="http://schemas.openxmlformats.org/drawingml/2006/main">
          <a:off x="1325880" y="2941320"/>
          <a:ext cx="1468582" cy="1385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0.27884</cdr:x>
      <cdr:y>0.02537</cdr:y>
    </cdr:from>
    <cdr:to>
      <cdr:x>0.66068</cdr:x>
      <cdr:y>0.10058</cdr:y>
    </cdr:to>
    <cdr:sp macro="" textlink="">
      <cdr:nvSpPr>
        <cdr:cNvPr id="3" name="TextBox 2">
          <a:extLst xmlns:a="http://schemas.openxmlformats.org/drawingml/2006/main">
            <a:ext uri="{FF2B5EF4-FFF2-40B4-BE49-F238E27FC236}">
              <a16:creationId xmlns:a16="http://schemas.microsoft.com/office/drawing/2014/main" id="{8C9928AA-8358-2D6F-ABC9-BBA5248B4B54}"/>
            </a:ext>
          </a:extLst>
        </cdr:cNvPr>
        <cdr:cNvSpPr txBox="1"/>
      </cdr:nvSpPr>
      <cdr:spPr>
        <a:xfrm xmlns:a="http://schemas.openxmlformats.org/drawingml/2006/main">
          <a:off x="473256" y="52864"/>
          <a:ext cx="648070" cy="156722"/>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IN" sz="1000" b="1" kern="1200">
              <a:solidFill>
                <a:schemeClr val="tx1"/>
              </a:solidFill>
              <a:latin typeface="Times New Roman" panose="02020603050405020304" pitchFamily="18" charset="0"/>
              <a:cs typeface="Times New Roman" panose="02020603050405020304" pitchFamily="18" charset="0"/>
            </a:rPr>
            <a:t>Booking</a:t>
          </a:r>
          <a:endParaRPr lang="en-IN" sz="1050" b="1" kern="1200">
            <a:solidFill>
              <a:schemeClr val="tx1"/>
            </a:solidFill>
            <a:latin typeface="Times New Roman" panose="02020603050405020304" pitchFamily="18" charset="0"/>
            <a:cs typeface="Times New Roman" panose="02020603050405020304" pitchFamily="18"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cdr:x>
      <cdr:y>0</cdr:y>
    </cdr:from>
    <cdr:to>
      <cdr:x>0.48375</cdr:x>
      <cdr:y>0.10055</cdr:y>
    </cdr:to>
    <cdr:sp macro="" textlink="">
      <cdr:nvSpPr>
        <cdr:cNvPr id="2" name="TextBox 1">
          <a:extLst xmlns:a="http://schemas.openxmlformats.org/drawingml/2006/main">
            <a:ext uri="{FF2B5EF4-FFF2-40B4-BE49-F238E27FC236}">
              <a16:creationId xmlns:a16="http://schemas.microsoft.com/office/drawing/2014/main" id="{A9FD1FF0-DD85-47B4-E291-67CCAFF2BF18}"/>
            </a:ext>
          </a:extLst>
        </cdr:cNvPr>
        <cdr:cNvSpPr txBox="1"/>
      </cdr:nvSpPr>
      <cdr:spPr>
        <a:xfrm xmlns:a="http://schemas.openxmlformats.org/drawingml/2006/main">
          <a:off x="0" y="0"/>
          <a:ext cx="946849" cy="208078"/>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IN" sz="1100" b="1" kern="1200">
              <a:solidFill>
                <a:schemeClr val="tx1">
                  <a:lumMod val="95000"/>
                  <a:lumOff val="5000"/>
                </a:schemeClr>
              </a:solidFill>
              <a:latin typeface="Times New Roman" panose="02020603050405020304" pitchFamily="18" charset="0"/>
              <a:cs typeface="Times New Roman" panose="02020603050405020304" pitchFamily="18" charset="0"/>
            </a:rPr>
            <a:t> </a:t>
          </a:r>
          <a:r>
            <a:rPr lang="en-IN" sz="1000" b="1" kern="1200">
              <a:solidFill>
                <a:schemeClr val="tx1">
                  <a:lumMod val="95000"/>
                  <a:lumOff val="5000"/>
                </a:schemeClr>
              </a:solidFill>
              <a:latin typeface="Times New Roman" panose="02020603050405020304" pitchFamily="18" charset="0"/>
              <a:cs typeface="Times New Roman" panose="02020603050405020304" pitchFamily="18" charset="0"/>
            </a:rPr>
            <a:t>Distance</a:t>
          </a:r>
          <a:endParaRPr lang="en-IN" sz="1100" b="1" kern="1200">
            <a:solidFill>
              <a:schemeClr val="tx1">
                <a:lumMod val="95000"/>
                <a:lumOff val="5000"/>
              </a:schemeClr>
            </a:solidFill>
            <a:latin typeface="Times New Roman" panose="02020603050405020304" pitchFamily="18" charset="0"/>
            <a:cs typeface="Times New Roman" panose="02020603050405020304" pitchFamily="18"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0.0086</cdr:x>
      <cdr:y>0</cdr:y>
    </cdr:from>
    <cdr:to>
      <cdr:x>0.58856</cdr:x>
      <cdr:y>0.10957</cdr:y>
    </cdr:to>
    <cdr:sp macro="" textlink="">
      <cdr:nvSpPr>
        <cdr:cNvPr id="2" name="TextBox 1">
          <a:extLst xmlns:a="http://schemas.openxmlformats.org/drawingml/2006/main">
            <a:ext uri="{FF2B5EF4-FFF2-40B4-BE49-F238E27FC236}">
              <a16:creationId xmlns:a16="http://schemas.microsoft.com/office/drawing/2014/main" id="{288E9F01-E35B-B9C5-7A5C-5393726FADAB}"/>
            </a:ext>
          </a:extLst>
        </cdr:cNvPr>
        <cdr:cNvSpPr txBox="1"/>
      </cdr:nvSpPr>
      <cdr:spPr>
        <a:xfrm xmlns:a="http://schemas.openxmlformats.org/drawingml/2006/main">
          <a:off x="16935" y="0"/>
          <a:ext cx="1142570" cy="228316"/>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IN" sz="1100" b="1" kern="1200">
              <a:latin typeface="Times New Roman" panose="02020603050405020304" pitchFamily="18" charset="0"/>
              <a:cs typeface="Times New Roman" panose="02020603050405020304" pitchFamily="18" charset="0"/>
            </a:rPr>
            <a:t>Trip</a:t>
          </a:r>
          <a:r>
            <a:rPr lang="en-IN" sz="1100" b="1" kern="1200" baseline="0">
              <a:latin typeface="Times New Roman" panose="02020603050405020304" pitchFamily="18" charset="0"/>
              <a:cs typeface="Times New Roman" panose="02020603050405020304" pitchFamily="18" charset="0"/>
            </a:rPr>
            <a:t> Value</a:t>
          </a:r>
          <a:endParaRPr lang="en-IN" sz="1100" b="1" kern="1200">
            <a:latin typeface="Times New Roman" panose="02020603050405020304" pitchFamily="18" charset="0"/>
            <a:cs typeface="Times New Roman" panose="02020603050405020304" pitchFamily="18"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0.01554</cdr:x>
      <cdr:y>0.00335</cdr:y>
    </cdr:from>
    <cdr:to>
      <cdr:x>0.7256</cdr:x>
      <cdr:y>0.08722</cdr:y>
    </cdr:to>
    <cdr:sp macro="" textlink="">
      <cdr:nvSpPr>
        <cdr:cNvPr id="2" name="TextBox 1">
          <a:extLst xmlns:a="http://schemas.openxmlformats.org/drawingml/2006/main">
            <a:ext uri="{FF2B5EF4-FFF2-40B4-BE49-F238E27FC236}">
              <a16:creationId xmlns:a16="http://schemas.microsoft.com/office/drawing/2014/main" id="{49EE8CF2-0E29-46FF-7E7B-A7B8812D0E77}"/>
            </a:ext>
          </a:extLst>
        </cdr:cNvPr>
        <cdr:cNvSpPr txBox="1"/>
      </cdr:nvSpPr>
      <cdr:spPr>
        <a:xfrm xmlns:a="http://schemas.openxmlformats.org/drawingml/2006/main">
          <a:off x="30923" y="7079"/>
          <a:ext cx="1413110" cy="177373"/>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l"/>
          <a:r>
            <a:rPr lang="en-IN" sz="900" b="1" kern="1200">
              <a:solidFill>
                <a:schemeClr val="tx1"/>
              </a:solidFill>
              <a:latin typeface="Times New Roman" panose="02020603050405020304" pitchFamily="18" charset="0"/>
              <a:cs typeface="Times New Roman" panose="02020603050405020304" pitchFamily="18" charset="0"/>
            </a:rPr>
            <a:t>Average Trip Value</a:t>
          </a:r>
          <a:endParaRPr lang="en-IN" sz="1000" b="1" kern="1200">
            <a:solidFill>
              <a:schemeClr val="tx1"/>
            </a:solidFill>
            <a:latin typeface="Times New Roman" panose="02020603050405020304" pitchFamily="18" charset="0"/>
            <a:cs typeface="Times New Roman" panose="02020603050405020304" pitchFamily="18"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3</xdr:col>
      <xdr:colOff>156210</xdr:colOff>
      <xdr:row>2</xdr:row>
      <xdr:rowOff>133350</xdr:rowOff>
    </xdr:from>
    <xdr:to>
      <xdr:col>11</xdr:col>
      <xdr:colOff>99060</xdr:colOff>
      <xdr:row>17</xdr:row>
      <xdr:rowOff>38100</xdr:rowOff>
    </xdr:to>
    <xdr:graphicFrame macro="">
      <xdr:nvGraphicFramePr>
        <xdr:cNvPr id="2" name="Chart 1">
          <a:extLst>
            <a:ext uri="{FF2B5EF4-FFF2-40B4-BE49-F238E27FC236}">
              <a16:creationId xmlns:a16="http://schemas.microsoft.com/office/drawing/2014/main" id="{95F0394C-7946-E9EC-576D-75EB354DB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342900</xdr:colOff>
      <xdr:row>7</xdr:row>
      <xdr:rowOff>3810</xdr:rowOff>
    </xdr:from>
    <xdr:to>
      <xdr:col>11</xdr:col>
      <xdr:colOff>83820</xdr:colOff>
      <xdr:row>16</xdr:row>
      <xdr:rowOff>60960</xdr:rowOff>
    </xdr:to>
    <xdr:graphicFrame macro="">
      <xdr:nvGraphicFramePr>
        <xdr:cNvPr id="2" name="Chart 1">
          <a:extLst>
            <a:ext uri="{FF2B5EF4-FFF2-40B4-BE49-F238E27FC236}">
              <a16:creationId xmlns:a16="http://schemas.microsoft.com/office/drawing/2014/main" id="{2F9F90F9-343A-BCFC-C8B1-658635DD2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60960</xdr:colOff>
      <xdr:row>4</xdr:row>
      <xdr:rowOff>144780</xdr:rowOff>
    </xdr:from>
    <xdr:to>
      <xdr:col>11</xdr:col>
      <xdr:colOff>91440</xdr:colOff>
      <xdr:row>17</xdr:row>
      <xdr:rowOff>53340</xdr:rowOff>
    </xdr:to>
    <xdr:graphicFrame macro="">
      <xdr:nvGraphicFramePr>
        <xdr:cNvPr id="2" name="Chart 1">
          <a:extLst>
            <a:ext uri="{FF2B5EF4-FFF2-40B4-BE49-F238E27FC236}">
              <a16:creationId xmlns:a16="http://schemas.microsoft.com/office/drawing/2014/main" id="{2D945B09-A139-CFBA-248D-497EB70E7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38100</xdr:colOff>
      <xdr:row>29</xdr:row>
      <xdr:rowOff>83820</xdr:rowOff>
    </xdr:from>
    <xdr:to>
      <xdr:col>14</xdr:col>
      <xdr:colOff>38100</xdr:colOff>
      <xdr:row>42</xdr:row>
      <xdr:rowOff>173355</xdr:rowOff>
    </xdr:to>
    <xdr:sp macro="" textlink="">
      <xdr:nvSpPr>
        <xdr:cNvPr id="2" name="Rectangle 1">
          <a:extLst>
            <a:ext uri="{FF2B5EF4-FFF2-40B4-BE49-F238E27FC236}">
              <a16:creationId xmlns:a16="http://schemas.microsoft.com/office/drawing/2014/main" id="{00000000-0008-0000-0D00-000002000000}"/>
            </a:ext>
          </a:extLst>
        </xdr:cNvPr>
        <xdr:cNvSpPr>
          <a:spLocks noTextEdit="1"/>
        </xdr:cNvSpPr>
      </xdr:nvSpPr>
      <xdr:spPr>
        <a:xfrm>
          <a:off x="7978140" y="538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11</xdr:col>
      <xdr:colOff>518160</xdr:colOff>
      <xdr:row>32</xdr:row>
      <xdr:rowOff>15240</xdr:rowOff>
    </xdr:from>
    <xdr:to>
      <xdr:col>14</xdr:col>
      <xdr:colOff>518160</xdr:colOff>
      <xdr:row>45</xdr:row>
      <xdr:rowOff>104775</xdr:rowOff>
    </xdr:to>
    <xdr:sp macro="" textlink="">
      <xdr:nvSpPr>
        <xdr:cNvPr id="3" name="Rectangle 2">
          <a:extLst>
            <a:ext uri="{FF2B5EF4-FFF2-40B4-BE49-F238E27FC236}">
              <a16:creationId xmlns:a16="http://schemas.microsoft.com/office/drawing/2014/main" id="{00000000-0008-0000-0D00-000003000000}"/>
            </a:ext>
          </a:extLst>
        </xdr:cNvPr>
        <xdr:cNvSpPr>
          <a:spLocks noTextEdit="1"/>
        </xdr:cNvSpPr>
      </xdr:nvSpPr>
      <xdr:spPr>
        <a:xfrm>
          <a:off x="8458200" y="5867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12</xdr:col>
      <xdr:colOff>388620</xdr:colOff>
      <xdr:row>34</xdr:row>
      <xdr:rowOff>129540</xdr:rowOff>
    </xdr:from>
    <xdr:to>
      <xdr:col>15</xdr:col>
      <xdr:colOff>388620</xdr:colOff>
      <xdr:row>48</xdr:row>
      <xdr:rowOff>36195</xdr:rowOff>
    </xdr:to>
    <xdr:sp macro="" textlink="">
      <xdr:nvSpPr>
        <xdr:cNvPr id="4" name="Rectangle 3">
          <a:extLst>
            <a:ext uri="{FF2B5EF4-FFF2-40B4-BE49-F238E27FC236}">
              <a16:creationId xmlns:a16="http://schemas.microsoft.com/office/drawing/2014/main" id="{00000000-0008-0000-0D00-000004000000}"/>
            </a:ext>
          </a:extLst>
        </xdr:cNvPr>
        <xdr:cNvSpPr>
          <a:spLocks noTextEdit="1"/>
        </xdr:cNvSpPr>
      </xdr:nvSpPr>
      <xdr:spPr>
        <a:xfrm>
          <a:off x="8938260" y="6347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13</xdr:col>
      <xdr:colOff>259080</xdr:colOff>
      <xdr:row>37</xdr:row>
      <xdr:rowOff>60960</xdr:rowOff>
    </xdr:from>
    <xdr:to>
      <xdr:col>16</xdr:col>
      <xdr:colOff>259080</xdr:colOff>
      <xdr:row>50</xdr:row>
      <xdr:rowOff>150495</xdr:rowOff>
    </xdr:to>
    <xdr:sp macro="" textlink="">
      <xdr:nvSpPr>
        <xdr:cNvPr id="5" name="Rectangle 4">
          <a:extLst>
            <a:ext uri="{FF2B5EF4-FFF2-40B4-BE49-F238E27FC236}">
              <a16:creationId xmlns:a16="http://schemas.microsoft.com/office/drawing/2014/main" id="{00000000-0008-0000-0D00-000005000000}"/>
            </a:ext>
          </a:extLst>
        </xdr:cNvPr>
        <xdr:cNvSpPr>
          <a:spLocks noTextEdit="1"/>
        </xdr:cNvSpPr>
      </xdr:nvSpPr>
      <xdr:spPr>
        <a:xfrm>
          <a:off x="9418320" y="6827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14</xdr:col>
      <xdr:colOff>129540</xdr:colOff>
      <xdr:row>39</xdr:row>
      <xdr:rowOff>175260</xdr:rowOff>
    </xdr:from>
    <xdr:to>
      <xdr:col>17</xdr:col>
      <xdr:colOff>129540</xdr:colOff>
      <xdr:row>53</xdr:row>
      <xdr:rowOff>81915</xdr:rowOff>
    </xdr:to>
    <xdr:sp macro="" textlink="">
      <xdr:nvSpPr>
        <xdr:cNvPr id="6" name="Rectangle 5">
          <a:extLst>
            <a:ext uri="{FF2B5EF4-FFF2-40B4-BE49-F238E27FC236}">
              <a16:creationId xmlns:a16="http://schemas.microsoft.com/office/drawing/2014/main" id="{00000000-0008-0000-0D00-000006000000}"/>
            </a:ext>
          </a:extLst>
        </xdr:cNvPr>
        <xdr:cNvSpPr>
          <a:spLocks noTextEdit="1"/>
        </xdr:cNvSpPr>
      </xdr:nvSpPr>
      <xdr:spPr>
        <a:xfrm>
          <a:off x="9898380" y="7307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3</xdr:col>
      <xdr:colOff>304800</xdr:colOff>
      <xdr:row>3</xdr:row>
      <xdr:rowOff>53341</xdr:rowOff>
    </xdr:from>
    <xdr:to>
      <xdr:col>7</xdr:col>
      <xdr:colOff>15240</xdr:colOff>
      <xdr:row>11</xdr:row>
      <xdr:rowOff>160021</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15ABCF8A-0226-EBC3-0C2E-8FA7FB11E0B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68040" y="601981"/>
              <a:ext cx="214884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8</xdr:row>
      <xdr:rowOff>0</xdr:rowOff>
    </xdr:from>
    <xdr:to>
      <xdr:col>14</xdr:col>
      <xdr:colOff>0</xdr:colOff>
      <xdr:row>20</xdr:row>
      <xdr:rowOff>0</xdr:rowOff>
    </xdr:to>
    <xdr:grpSp>
      <xdr:nvGrpSpPr>
        <xdr:cNvPr id="5" name="Group 4">
          <a:extLst>
            <a:ext uri="{FF2B5EF4-FFF2-40B4-BE49-F238E27FC236}">
              <a16:creationId xmlns:a16="http://schemas.microsoft.com/office/drawing/2014/main" id="{B90B8F75-D93B-8934-E841-DB4FAF055CA8}"/>
            </a:ext>
          </a:extLst>
        </xdr:cNvPr>
        <xdr:cNvGrpSpPr/>
      </xdr:nvGrpSpPr>
      <xdr:grpSpPr>
        <a:xfrm>
          <a:off x="4320540" y="1463040"/>
          <a:ext cx="4876800" cy="2194560"/>
          <a:chOff x="6758940" y="731520"/>
          <a:chExt cx="4876800" cy="2194560"/>
        </a:xfrm>
      </xdr:grpSpPr>
      <xdr:sp macro="" textlink="">
        <xdr:nvSpPr>
          <xdr:cNvPr id="3" name="Rectangle: Rounded Corners 2">
            <a:extLst>
              <a:ext uri="{FF2B5EF4-FFF2-40B4-BE49-F238E27FC236}">
                <a16:creationId xmlns:a16="http://schemas.microsoft.com/office/drawing/2014/main" id="{F9D5A986-5050-1F67-5E23-B2349DAEFF64}"/>
              </a:ext>
            </a:extLst>
          </xdr:cNvPr>
          <xdr:cNvSpPr/>
        </xdr:nvSpPr>
        <xdr:spPr>
          <a:xfrm>
            <a:off x="6758940" y="731520"/>
            <a:ext cx="4876800" cy="219456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97FA8D2C-0B0B-5FEC-5884-DF57724CAE33}"/>
              </a:ext>
            </a:extLst>
          </xdr:cNvPr>
          <xdr:cNvGraphicFramePr/>
        </xdr:nvGraphicFramePr>
        <xdr:xfrm>
          <a:off x="7368540" y="864870"/>
          <a:ext cx="3486150" cy="197739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85.519719560187" createdVersion="8" refreshedVersion="8" minRefreshableVersion="3" recordCount="1200" xr:uid="{00000000-000A-0000-FFFF-FFFF00000000}">
  <cacheSource type="worksheet">
    <worksheetSource ref="A1:O1201" sheet="Data"/>
  </cacheSource>
  <cacheFields count="16">
    <cacheField name="Trip_ID" numFmtId="0">
      <sharedItems count="1200">
        <s v="UIN25000001"/>
        <s v="UIN25000002"/>
        <s v="UIN25000003"/>
        <s v="UIN25000004"/>
        <s v="UIN25000005"/>
        <s v="UIN25000006"/>
        <s v="UIN25000007"/>
        <s v="UIN25000008"/>
        <s v="UIN25000009"/>
        <s v="UIN25000010"/>
        <s v="UIN25000011"/>
        <s v="UIN25000012"/>
        <s v="UIN25000013"/>
        <s v="UIN25000014"/>
        <s v="UIN25000015"/>
        <s v="UIN25000016"/>
        <s v="UIN25000017"/>
        <s v="UIN25000018"/>
        <s v="UIN25000019"/>
        <s v="UIN25000020"/>
        <s v="UIN25000021"/>
        <s v="UIN25000022"/>
        <s v="UIN25000023"/>
        <s v="UIN25000024"/>
        <s v="UIN25000025"/>
        <s v="UIN25000026"/>
        <s v="UIN25000027"/>
        <s v="UIN25000028"/>
        <s v="UIN25000029"/>
        <s v="UIN25000030"/>
        <s v="UIN25000031"/>
        <s v="UIN25000032"/>
        <s v="UIN25000033"/>
        <s v="UIN25000034"/>
        <s v="UIN25000035"/>
        <s v="UIN25000036"/>
        <s v="UIN25000037"/>
        <s v="UIN25000038"/>
        <s v="UIN25000039"/>
        <s v="UIN25000040"/>
        <s v="UIN25000041"/>
        <s v="UIN25000042"/>
        <s v="UIN25000043"/>
        <s v="UIN25000044"/>
        <s v="UIN25000045"/>
        <s v="UIN25000046"/>
        <s v="UIN25000047"/>
        <s v="UIN25000048"/>
        <s v="UIN25000049"/>
        <s v="UIN25000050"/>
        <s v="UIN25000051"/>
        <s v="UIN25000052"/>
        <s v="UIN25000053"/>
        <s v="UIN25000054"/>
        <s v="UIN25000055"/>
        <s v="UIN25000056"/>
        <s v="UIN25000057"/>
        <s v="UIN25000058"/>
        <s v="UIN25000059"/>
        <s v="UIN25000060"/>
        <s v="UIN25000061"/>
        <s v="UIN25000062"/>
        <s v="UIN25000063"/>
        <s v="UIN25000064"/>
        <s v="UIN25000065"/>
        <s v="UIN25000066"/>
        <s v="UIN25000067"/>
        <s v="UIN25000068"/>
        <s v="UIN25000069"/>
        <s v="UIN25000070"/>
        <s v="UIN25000071"/>
        <s v="UIN25000072"/>
        <s v="UIN25000073"/>
        <s v="UIN25000074"/>
        <s v="UIN25000075"/>
        <s v="UIN25000076"/>
        <s v="UIN25000077"/>
        <s v="UIN25000078"/>
        <s v="UIN25000079"/>
        <s v="UIN25000080"/>
        <s v="UIN25000081"/>
        <s v="UIN25000082"/>
        <s v="UIN25000083"/>
        <s v="UIN25000084"/>
        <s v="UIN25000085"/>
        <s v="UIN25000086"/>
        <s v="UIN25000087"/>
        <s v="UIN25000088"/>
        <s v="UIN25000089"/>
        <s v="UIN25000090"/>
        <s v="UIN25000091"/>
        <s v="UIN25000092"/>
        <s v="UIN25000093"/>
        <s v="UIN25000094"/>
        <s v="UIN25000095"/>
        <s v="UIN25000096"/>
        <s v="UIN25000097"/>
        <s v="UIN25000098"/>
        <s v="UIN25000099"/>
        <s v="UIN25000100"/>
        <s v="UIN25000101"/>
        <s v="UIN25000102"/>
        <s v="UIN25000103"/>
        <s v="UIN25000104"/>
        <s v="UIN25000105"/>
        <s v="UIN25000106"/>
        <s v="UIN25000107"/>
        <s v="UIN25000108"/>
        <s v="UIN25000109"/>
        <s v="UIN25000110"/>
        <s v="UIN25000111"/>
        <s v="UIN25000112"/>
        <s v="UIN25000113"/>
        <s v="UIN25000114"/>
        <s v="UIN25000115"/>
        <s v="UIN25000116"/>
        <s v="UIN25000117"/>
        <s v="UIN25000118"/>
        <s v="UIN25000119"/>
        <s v="UIN25000120"/>
        <s v="UIN25000121"/>
        <s v="UIN25000122"/>
        <s v="UIN25000123"/>
        <s v="UIN25000124"/>
        <s v="UIN25000125"/>
        <s v="UIN25000126"/>
        <s v="UIN25000127"/>
        <s v="UIN25000128"/>
        <s v="UIN25000129"/>
        <s v="UIN25000130"/>
        <s v="UIN25000131"/>
        <s v="UIN25000132"/>
        <s v="UIN25000133"/>
        <s v="UIN25000134"/>
        <s v="UIN25000135"/>
        <s v="UIN25000136"/>
        <s v="UIN25000137"/>
        <s v="UIN25000138"/>
        <s v="UIN25000139"/>
        <s v="UIN25000140"/>
        <s v="UIN25000141"/>
        <s v="UIN25000142"/>
        <s v="UIN25000143"/>
        <s v="UIN25000144"/>
        <s v="UIN25000145"/>
        <s v="UIN25000146"/>
        <s v="UIN25000147"/>
        <s v="UIN25000148"/>
        <s v="UIN25000149"/>
        <s v="UIN25000150"/>
        <s v="UIN25000151"/>
        <s v="UIN25000152"/>
        <s v="UIN25000153"/>
        <s v="UIN25000154"/>
        <s v="UIN25000155"/>
        <s v="UIN25000156"/>
        <s v="UIN25000157"/>
        <s v="UIN25000158"/>
        <s v="UIN25000159"/>
        <s v="UIN25000160"/>
        <s v="UIN25000161"/>
        <s v="UIN25000162"/>
        <s v="UIN25000163"/>
        <s v="UIN25000164"/>
        <s v="UIN25000165"/>
        <s v="UIN25000166"/>
        <s v="UIN25000167"/>
        <s v="UIN25000168"/>
        <s v="UIN25000169"/>
        <s v="UIN25000170"/>
        <s v="UIN25000171"/>
        <s v="UIN25000172"/>
        <s v="UIN25000173"/>
        <s v="UIN25000174"/>
        <s v="UIN25000175"/>
        <s v="UIN25000176"/>
        <s v="UIN25000177"/>
        <s v="UIN25000178"/>
        <s v="UIN25000179"/>
        <s v="UIN25000180"/>
        <s v="UIN25000181"/>
        <s v="UIN25000182"/>
        <s v="UIN25000183"/>
        <s v="UIN25000184"/>
        <s v="UIN25000185"/>
        <s v="UIN25000186"/>
        <s v="UIN25000187"/>
        <s v="UIN25000188"/>
        <s v="UIN25000189"/>
        <s v="UIN25000190"/>
        <s v="UIN25000191"/>
        <s v="UIN25000192"/>
        <s v="UIN25000193"/>
        <s v="UIN25000194"/>
        <s v="UIN25000195"/>
        <s v="UIN25000196"/>
        <s v="UIN25000197"/>
        <s v="UIN25000198"/>
        <s v="UIN25000199"/>
        <s v="UIN25000200"/>
        <s v="UIN25000201"/>
        <s v="UIN25000202"/>
        <s v="UIN25000203"/>
        <s v="UIN25000204"/>
        <s v="UIN25000205"/>
        <s v="UIN25000206"/>
        <s v="UIN25000207"/>
        <s v="UIN25000208"/>
        <s v="UIN25000209"/>
        <s v="UIN25000210"/>
        <s v="UIN25000211"/>
        <s v="UIN25000212"/>
        <s v="UIN25000213"/>
        <s v="UIN25000214"/>
        <s v="UIN25000215"/>
        <s v="UIN25000216"/>
        <s v="UIN25000217"/>
        <s v="UIN25000218"/>
        <s v="UIN25000219"/>
        <s v="UIN25000220"/>
        <s v="UIN25000221"/>
        <s v="UIN25000222"/>
        <s v="UIN25000223"/>
        <s v="UIN25000224"/>
        <s v="UIN25000225"/>
        <s v="UIN25000226"/>
        <s v="UIN25000227"/>
        <s v="UIN25000228"/>
        <s v="UIN25000229"/>
        <s v="UIN25000230"/>
        <s v="UIN25000231"/>
        <s v="UIN25000232"/>
        <s v="UIN25000233"/>
        <s v="UIN25000234"/>
        <s v="UIN25000235"/>
        <s v="UIN25000236"/>
        <s v="UIN25000237"/>
        <s v="UIN25000238"/>
        <s v="UIN25000239"/>
        <s v="UIN25000240"/>
        <s v="UIN25000241"/>
        <s v="UIN25000242"/>
        <s v="UIN25000243"/>
        <s v="UIN25000244"/>
        <s v="UIN25000245"/>
        <s v="UIN25000246"/>
        <s v="UIN25000247"/>
        <s v="UIN25000248"/>
        <s v="UIN25000249"/>
        <s v="UIN25000250"/>
        <s v="UIN25000251"/>
        <s v="UIN25000252"/>
        <s v="UIN25000253"/>
        <s v="UIN25000254"/>
        <s v="UIN25000255"/>
        <s v="UIN25000256"/>
        <s v="UIN25000257"/>
        <s v="UIN25000258"/>
        <s v="UIN25000259"/>
        <s v="UIN25000260"/>
        <s v="UIN25000261"/>
        <s v="UIN25000262"/>
        <s v="UIN25000263"/>
        <s v="UIN25000264"/>
        <s v="UIN25000265"/>
        <s v="UIN25000266"/>
        <s v="UIN25000267"/>
        <s v="UIN25000268"/>
        <s v="UIN25000269"/>
        <s v="UIN25000270"/>
        <s v="UIN25000271"/>
        <s v="UIN25000272"/>
        <s v="UIN25000273"/>
        <s v="UIN25000274"/>
        <s v="UIN25000275"/>
        <s v="UIN25000276"/>
        <s v="UIN25000277"/>
        <s v="UIN25000278"/>
        <s v="UIN25000279"/>
        <s v="UIN25000280"/>
        <s v="UIN25000281"/>
        <s v="UIN25000282"/>
        <s v="UIN25000283"/>
        <s v="UIN25000284"/>
        <s v="UIN25000285"/>
        <s v="UIN25000286"/>
        <s v="UIN25000287"/>
        <s v="UIN25000288"/>
        <s v="UIN25000289"/>
        <s v="UIN25000290"/>
        <s v="UIN25000291"/>
        <s v="UIN25000292"/>
        <s v="UIN25000293"/>
        <s v="UIN25000294"/>
        <s v="UIN25000295"/>
        <s v="UIN25000296"/>
        <s v="UIN25000297"/>
        <s v="UIN25000298"/>
        <s v="UIN25000299"/>
        <s v="UIN25000300"/>
        <s v="UIN25000301"/>
        <s v="UIN25000302"/>
        <s v="UIN25000303"/>
        <s v="UIN25000304"/>
        <s v="UIN25000305"/>
        <s v="UIN25000306"/>
        <s v="UIN25000307"/>
        <s v="UIN25000308"/>
        <s v="UIN25000309"/>
        <s v="UIN25000310"/>
        <s v="UIN25000311"/>
        <s v="UIN25000312"/>
        <s v="UIN25000313"/>
        <s v="UIN25000314"/>
        <s v="UIN25000315"/>
        <s v="UIN25000316"/>
        <s v="UIN25000317"/>
        <s v="UIN25000318"/>
        <s v="UIN25000319"/>
        <s v="UIN25000320"/>
        <s v="UIN25000321"/>
        <s v="UIN25000322"/>
        <s v="UIN25000323"/>
        <s v="UIN25000324"/>
        <s v="UIN25000325"/>
        <s v="UIN25000326"/>
        <s v="UIN25000327"/>
        <s v="UIN25000328"/>
        <s v="UIN25000329"/>
        <s v="UIN25000330"/>
        <s v="UIN25000331"/>
        <s v="UIN25000332"/>
        <s v="UIN25000333"/>
        <s v="UIN25000334"/>
        <s v="UIN25000335"/>
        <s v="UIN25000336"/>
        <s v="UIN25000337"/>
        <s v="UIN25000338"/>
        <s v="UIN25000339"/>
        <s v="UIN25000340"/>
        <s v="UIN25000341"/>
        <s v="UIN25000342"/>
        <s v="UIN25000343"/>
        <s v="UIN25000344"/>
        <s v="UIN25000345"/>
        <s v="UIN25000346"/>
        <s v="UIN25000347"/>
        <s v="UIN25000348"/>
        <s v="UIN25000349"/>
        <s v="UIN25000350"/>
        <s v="UIN25000351"/>
        <s v="UIN25000352"/>
        <s v="UIN25000353"/>
        <s v="UIN25000354"/>
        <s v="UIN25000355"/>
        <s v="UIN25000356"/>
        <s v="UIN25000357"/>
        <s v="UIN25000358"/>
        <s v="UIN25000359"/>
        <s v="UIN25000360"/>
        <s v="UIN25000361"/>
        <s v="UIN25000362"/>
        <s v="UIN25000363"/>
        <s v="UIN25000364"/>
        <s v="UIN25000365"/>
        <s v="UIN25000366"/>
        <s v="UIN25000367"/>
        <s v="UIN25000368"/>
        <s v="UIN25000369"/>
        <s v="UIN25000370"/>
        <s v="UIN25000371"/>
        <s v="UIN25000372"/>
        <s v="UIN25000373"/>
        <s v="UIN25000374"/>
        <s v="UIN25000375"/>
        <s v="UIN25000376"/>
        <s v="UIN25000377"/>
        <s v="UIN25000378"/>
        <s v="UIN25000379"/>
        <s v="UIN25000380"/>
        <s v="UIN25000381"/>
        <s v="UIN25000382"/>
        <s v="UIN25000383"/>
        <s v="UIN25000384"/>
        <s v="UIN25000385"/>
        <s v="UIN25000386"/>
        <s v="UIN25000387"/>
        <s v="UIN25000388"/>
        <s v="UIN25000389"/>
        <s v="UIN25000390"/>
        <s v="UIN25000391"/>
        <s v="UIN25000392"/>
        <s v="UIN25000393"/>
        <s v="UIN25000394"/>
        <s v="UIN25000395"/>
        <s v="UIN25000396"/>
        <s v="UIN25000397"/>
        <s v="UIN25000398"/>
        <s v="UIN25000399"/>
        <s v="UIN25000400"/>
        <s v="UIN25000401"/>
        <s v="UIN25000402"/>
        <s v="UIN25000403"/>
        <s v="UIN25000404"/>
        <s v="UIN25000405"/>
        <s v="UIN25000406"/>
        <s v="UIN25000407"/>
        <s v="UIN25000408"/>
        <s v="UIN25000409"/>
        <s v="UIN25000410"/>
        <s v="UIN25000411"/>
        <s v="UIN25000412"/>
        <s v="UIN25000413"/>
        <s v="UIN25000414"/>
        <s v="UIN25000415"/>
        <s v="UIN25000416"/>
        <s v="UIN25000417"/>
        <s v="UIN25000418"/>
        <s v="UIN25000419"/>
        <s v="UIN25000420"/>
        <s v="UIN25000421"/>
        <s v="UIN25000422"/>
        <s v="UIN25000423"/>
        <s v="UIN25000424"/>
        <s v="UIN25000425"/>
        <s v="UIN25000426"/>
        <s v="UIN25000427"/>
        <s v="UIN25000428"/>
        <s v="UIN25000429"/>
        <s v="UIN25000430"/>
        <s v="UIN25000431"/>
        <s v="UIN25000432"/>
        <s v="UIN25000433"/>
        <s v="UIN25000434"/>
        <s v="UIN25000435"/>
        <s v="UIN25000436"/>
        <s v="UIN25000437"/>
        <s v="UIN25000438"/>
        <s v="UIN25000439"/>
        <s v="UIN25000440"/>
        <s v="UIN25000441"/>
        <s v="UIN25000442"/>
        <s v="UIN25000443"/>
        <s v="UIN25000444"/>
        <s v="UIN25000445"/>
        <s v="UIN25000446"/>
        <s v="UIN25000447"/>
        <s v="UIN25000448"/>
        <s v="UIN25000449"/>
        <s v="UIN25000450"/>
        <s v="UIN25000451"/>
        <s v="UIN25000452"/>
        <s v="UIN25000453"/>
        <s v="UIN25000454"/>
        <s v="UIN25000455"/>
        <s v="UIN25000456"/>
        <s v="UIN25000457"/>
        <s v="UIN25000458"/>
        <s v="UIN25000459"/>
        <s v="UIN25000460"/>
        <s v="UIN25000461"/>
        <s v="UIN25000462"/>
        <s v="UIN25000463"/>
        <s v="UIN25000464"/>
        <s v="UIN25000465"/>
        <s v="UIN25000466"/>
        <s v="UIN25000467"/>
        <s v="UIN25000468"/>
        <s v="UIN25000469"/>
        <s v="UIN25000470"/>
        <s v="UIN25000471"/>
        <s v="UIN25000472"/>
        <s v="UIN25000473"/>
        <s v="UIN25000474"/>
        <s v="UIN25000475"/>
        <s v="UIN25000476"/>
        <s v="UIN25000477"/>
        <s v="UIN25000478"/>
        <s v="UIN25000479"/>
        <s v="UIN25000480"/>
        <s v="UIN25000481"/>
        <s v="UIN25000482"/>
        <s v="UIN25000483"/>
        <s v="UIN25000484"/>
        <s v="UIN25000485"/>
        <s v="UIN25000486"/>
        <s v="UIN25000487"/>
        <s v="UIN25000488"/>
        <s v="UIN25000489"/>
        <s v="UIN25000490"/>
        <s v="UIN25000491"/>
        <s v="UIN25000492"/>
        <s v="UIN25000493"/>
        <s v="UIN25000494"/>
        <s v="UIN25000495"/>
        <s v="UIN25000496"/>
        <s v="UIN25000497"/>
        <s v="UIN25000498"/>
        <s v="UIN25000499"/>
        <s v="UIN25000500"/>
        <s v="UIN25000501"/>
        <s v="UIN25000502"/>
        <s v="UIN25000503"/>
        <s v="UIN25000504"/>
        <s v="UIN25000505"/>
        <s v="UIN25000506"/>
        <s v="UIN25000507"/>
        <s v="UIN25000508"/>
        <s v="UIN25000509"/>
        <s v="UIN25000510"/>
        <s v="UIN25000511"/>
        <s v="UIN25000512"/>
        <s v="UIN25000513"/>
        <s v="UIN25000514"/>
        <s v="UIN25000515"/>
        <s v="UIN25000516"/>
        <s v="UIN25000517"/>
        <s v="UIN25000518"/>
        <s v="UIN25000519"/>
        <s v="UIN25000520"/>
        <s v="UIN25000521"/>
        <s v="UIN25000522"/>
        <s v="UIN25000523"/>
        <s v="UIN25000524"/>
        <s v="UIN25000525"/>
        <s v="UIN25000526"/>
        <s v="UIN25000527"/>
        <s v="UIN25000528"/>
        <s v="UIN25000529"/>
        <s v="UIN25000530"/>
        <s v="UIN25000531"/>
        <s v="UIN25000532"/>
        <s v="UIN25000533"/>
        <s v="UIN25000534"/>
        <s v="UIN25000535"/>
        <s v="UIN25000536"/>
        <s v="UIN25000537"/>
        <s v="UIN25000538"/>
        <s v="UIN25000539"/>
        <s v="UIN25000540"/>
        <s v="UIN25000541"/>
        <s v="UIN25000542"/>
        <s v="UIN25000543"/>
        <s v="UIN25000544"/>
        <s v="UIN25000545"/>
        <s v="UIN25000546"/>
        <s v="UIN25000547"/>
        <s v="UIN25000548"/>
        <s v="UIN25000549"/>
        <s v="UIN25000550"/>
        <s v="UIN25000551"/>
        <s v="UIN25000552"/>
        <s v="UIN25000553"/>
        <s v="UIN25000554"/>
        <s v="UIN25000555"/>
        <s v="UIN25000556"/>
        <s v="UIN25000557"/>
        <s v="UIN25000558"/>
        <s v="UIN25000559"/>
        <s v="UIN25000560"/>
        <s v="UIN25000561"/>
        <s v="UIN25000562"/>
        <s v="UIN25000563"/>
        <s v="UIN25000564"/>
        <s v="UIN25000565"/>
        <s v="UIN25000566"/>
        <s v="UIN25000567"/>
        <s v="UIN25000568"/>
        <s v="UIN25000569"/>
        <s v="UIN25000570"/>
        <s v="UIN25000571"/>
        <s v="UIN25000572"/>
        <s v="UIN25000573"/>
        <s v="UIN25000574"/>
        <s v="UIN25000575"/>
        <s v="UIN25000576"/>
        <s v="UIN25000577"/>
        <s v="UIN25000578"/>
        <s v="UIN25000579"/>
        <s v="UIN25000580"/>
        <s v="UIN25000581"/>
        <s v="UIN25000582"/>
        <s v="UIN25000583"/>
        <s v="UIN25000584"/>
        <s v="UIN25000585"/>
        <s v="UIN25000586"/>
        <s v="UIN25000587"/>
        <s v="UIN25000588"/>
        <s v="UIN25000589"/>
        <s v="UIN25000590"/>
        <s v="UIN25000591"/>
        <s v="UIN25000592"/>
        <s v="UIN25000593"/>
        <s v="UIN25000594"/>
        <s v="UIN25000595"/>
        <s v="UIN25000596"/>
        <s v="UIN25000597"/>
        <s v="UIN25000598"/>
        <s v="UIN25000599"/>
        <s v="UIN25000600"/>
        <s v="UIN25000601"/>
        <s v="UIN25000602"/>
        <s v="UIN25000603"/>
        <s v="UIN25000604"/>
        <s v="UIN25000605"/>
        <s v="UIN25000606"/>
        <s v="UIN25000607"/>
        <s v="UIN25000608"/>
        <s v="UIN25000609"/>
        <s v="UIN25000610"/>
        <s v="UIN25000611"/>
        <s v="UIN25000612"/>
        <s v="UIN25000613"/>
        <s v="UIN25000614"/>
        <s v="UIN25000615"/>
        <s v="UIN25000616"/>
        <s v="UIN25000617"/>
        <s v="UIN25000618"/>
        <s v="UIN25000619"/>
        <s v="UIN25000620"/>
        <s v="UIN25000621"/>
        <s v="UIN25000622"/>
        <s v="UIN25000623"/>
        <s v="UIN25000624"/>
        <s v="UIN25000625"/>
        <s v="UIN25000626"/>
        <s v="UIN25000627"/>
        <s v="UIN25000628"/>
        <s v="UIN25000629"/>
        <s v="UIN25000630"/>
        <s v="UIN25000631"/>
        <s v="UIN25000632"/>
        <s v="UIN25000633"/>
        <s v="UIN25000634"/>
        <s v="UIN25000635"/>
        <s v="UIN25000636"/>
        <s v="UIN25000637"/>
        <s v="UIN25000638"/>
        <s v="UIN25000639"/>
        <s v="UIN25000640"/>
        <s v="UIN25000641"/>
        <s v="UIN25000642"/>
        <s v="UIN25000643"/>
        <s v="UIN25000644"/>
        <s v="UIN25000645"/>
        <s v="UIN25000646"/>
        <s v="UIN25000647"/>
        <s v="UIN25000648"/>
        <s v="UIN25000649"/>
        <s v="UIN25000650"/>
        <s v="UIN25000651"/>
        <s v="UIN25000652"/>
        <s v="UIN25000653"/>
        <s v="UIN25000654"/>
        <s v="UIN25000655"/>
        <s v="UIN25000656"/>
        <s v="UIN25000657"/>
        <s v="UIN25000658"/>
        <s v="UIN25000659"/>
        <s v="UIN25000660"/>
        <s v="UIN25000661"/>
        <s v="UIN25000662"/>
        <s v="UIN25000663"/>
        <s v="UIN25000664"/>
        <s v="UIN25000665"/>
        <s v="UIN25000666"/>
        <s v="UIN25000667"/>
        <s v="UIN25000668"/>
        <s v="UIN25000669"/>
        <s v="UIN25000670"/>
        <s v="UIN25000671"/>
        <s v="UIN25000672"/>
        <s v="UIN25000673"/>
        <s v="UIN25000674"/>
        <s v="UIN25000675"/>
        <s v="UIN25000676"/>
        <s v="UIN25000677"/>
        <s v="UIN25000678"/>
        <s v="UIN25000679"/>
        <s v="UIN25000680"/>
        <s v="UIN25000681"/>
        <s v="UIN25000682"/>
        <s v="UIN25000683"/>
        <s v="UIN25000684"/>
        <s v="UIN25000685"/>
        <s v="UIN25000686"/>
        <s v="UIN25000687"/>
        <s v="UIN25000688"/>
        <s v="UIN25000689"/>
        <s v="UIN25000690"/>
        <s v="UIN25000691"/>
        <s v="UIN25000692"/>
        <s v="UIN25000693"/>
        <s v="UIN25000694"/>
        <s v="UIN25000695"/>
        <s v="UIN25000696"/>
        <s v="UIN25000697"/>
        <s v="UIN25000698"/>
        <s v="UIN25000699"/>
        <s v="UIN25000700"/>
        <s v="UIN25000701"/>
        <s v="UIN25000702"/>
        <s v="UIN25000703"/>
        <s v="UIN25000704"/>
        <s v="UIN25000705"/>
        <s v="UIN25000706"/>
        <s v="UIN25000707"/>
        <s v="UIN25000708"/>
        <s v="UIN25000709"/>
        <s v="UIN25000710"/>
        <s v="UIN25000711"/>
        <s v="UIN25000712"/>
        <s v="UIN25000713"/>
        <s v="UIN25000714"/>
        <s v="UIN25000715"/>
        <s v="UIN25000716"/>
        <s v="UIN25000717"/>
        <s v="UIN25000718"/>
        <s v="UIN25000719"/>
        <s v="UIN25000720"/>
        <s v="UIN25000721"/>
        <s v="UIN25000722"/>
        <s v="UIN25000723"/>
        <s v="UIN25000724"/>
        <s v="UIN25000725"/>
        <s v="UIN25000726"/>
        <s v="UIN25000727"/>
        <s v="UIN25000728"/>
        <s v="UIN25000729"/>
        <s v="UIN25000730"/>
        <s v="UIN25000731"/>
        <s v="UIN25000732"/>
        <s v="UIN25000733"/>
        <s v="UIN25000734"/>
        <s v="UIN25000735"/>
        <s v="UIN25000736"/>
        <s v="UIN25000737"/>
        <s v="UIN25000738"/>
        <s v="UIN25000739"/>
        <s v="UIN25000740"/>
        <s v="UIN25000741"/>
        <s v="UIN25000742"/>
        <s v="UIN25000743"/>
        <s v="UIN25000744"/>
        <s v="UIN25000745"/>
        <s v="UIN25000746"/>
        <s v="UIN25000747"/>
        <s v="UIN25000748"/>
        <s v="UIN25000749"/>
        <s v="UIN25000750"/>
        <s v="UIN25000751"/>
        <s v="UIN25000752"/>
        <s v="UIN25000753"/>
        <s v="UIN25000754"/>
        <s v="UIN25000755"/>
        <s v="UIN25000756"/>
        <s v="UIN25000757"/>
        <s v="UIN25000758"/>
        <s v="UIN25000759"/>
        <s v="UIN25000760"/>
        <s v="UIN25000761"/>
        <s v="UIN25000762"/>
        <s v="UIN25000763"/>
        <s v="UIN25000764"/>
        <s v="UIN25000765"/>
        <s v="UIN25000766"/>
        <s v="UIN25000767"/>
        <s v="UIN25000768"/>
        <s v="UIN25000769"/>
        <s v="UIN25000770"/>
        <s v="UIN25000771"/>
        <s v="UIN25000772"/>
        <s v="UIN25000773"/>
        <s v="UIN25000774"/>
        <s v="UIN25000775"/>
        <s v="UIN25000776"/>
        <s v="UIN25000777"/>
        <s v="UIN25000778"/>
        <s v="UIN25000779"/>
        <s v="UIN25000780"/>
        <s v="UIN25000781"/>
        <s v="UIN25000782"/>
        <s v="UIN25000783"/>
        <s v="UIN25000784"/>
        <s v="UIN25000785"/>
        <s v="UIN25000786"/>
        <s v="UIN25000787"/>
        <s v="UIN25000788"/>
        <s v="UIN25000789"/>
        <s v="UIN25000790"/>
        <s v="UIN25000791"/>
        <s v="UIN25000792"/>
        <s v="UIN25000793"/>
        <s v="UIN25000794"/>
        <s v="UIN25000795"/>
        <s v="UIN25000796"/>
        <s v="UIN25000797"/>
        <s v="UIN25000798"/>
        <s v="UIN25000799"/>
        <s v="UIN25000800"/>
        <s v="UIN25000801"/>
        <s v="UIN25000802"/>
        <s v="UIN25000803"/>
        <s v="UIN25000804"/>
        <s v="UIN25000805"/>
        <s v="UIN25000806"/>
        <s v="UIN25000807"/>
        <s v="UIN25000808"/>
        <s v="UIN25000809"/>
        <s v="UIN25000810"/>
        <s v="UIN25000811"/>
        <s v="UIN25000812"/>
        <s v="UIN25000813"/>
        <s v="UIN25000814"/>
        <s v="UIN25000815"/>
        <s v="UIN25000816"/>
        <s v="UIN25000817"/>
        <s v="UIN25000818"/>
        <s v="UIN25000819"/>
        <s v="UIN25000820"/>
        <s v="UIN25000821"/>
        <s v="UIN25000822"/>
        <s v="UIN25000823"/>
        <s v="UIN25000824"/>
        <s v="UIN25000825"/>
        <s v="UIN25000826"/>
        <s v="UIN25000827"/>
        <s v="UIN25000828"/>
        <s v="UIN25000829"/>
        <s v="UIN25000830"/>
        <s v="UIN25000831"/>
        <s v="UIN25000832"/>
        <s v="UIN25000833"/>
        <s v="UIN25000834"/>
        <s v="UIN25000835"/>
        <s v="UIN25000836"/>
        <s v="UIN25000837"/>
        <s v="UIN25000838"/>
        <s v="UIN25000839"/>
        <s v="UIN25000840"/>
        <s v="UIN25000841"/>
        <s v="UIN25000842"/>
        <s v="UIN25000843"/>
        <s v="UIN25000844"/>
        <s v="UIN25000845"/>
        <s v="UIN25000846"/>
        <s v="UIN25000847"/>
        <s v="UIN25000848"/>
        <s v="UIN25000849"/>
        <s v="UIN25000850"/>
        <s v="UIN25000851"/>
        <s v="UIN25000852"/>
        <s v="UIN25000853"/>
        <s v="UIN25000854"/>
        <s v="UIN25000855"/>
        <s v="UIN25000856"/>
        <s v="UIN25000857"/>
        <s v="UIN25000858"/>
        <s v="UIN25000859"/>
        <s v="UIN25000860"/>
        <s v="UIN25000861"/>
        <s v="UIN25000862"/>
        <s v="UIN25000863"/>
        <s v="UIN25000864"/>
        <s v="UIN25000865"/>
        <s v="UIN25000866"/>
        <s v="UIN25000867"/>
        <s v="UIN25000868"/>
        <s v="UIN25000869"/>
        <s v="UIN25000870"/>
        <s v="UIN25000871"/>
        <s v="UIN25000872"/>
        <s v="UIN25000873"/>
        <s v="UIN25000874"/>
        <s v="UIN25000875"/>
        <s v="UIN25000876"/>
        <s v="UIN25000877"/>
        <s v="UIN25000878"/>
        <s v="UIN25000879"/>
        <s v="UIN25000880"/>
        <s v="UIN25000881"/>
        <s v="UIN25000882"/>
        <s v="UIN25000883"/>
        <s v="UIN25000884"/>
        <s v="UIN25000885"/>
        <s v="UIN25000886"/>
        <s v="UIN25000887"/>
        <s v="UIN25000888"/>
        <s v="UIN25000889"/>
        <s v="UIN25000890"/>
        <s v="UIN25000891"/>
        <s v="UIN25000892"/>
        <s v="UIN25000893"/>
        <s v="UIN25000894"/>
        <s v="UIN25000895"/>
        <s v="UIN25000896"/>
        <s v="UIN25000897"/>
        <s v="UIN25000898"/>
        <s v="UIN25000899"/>
        <s v="UIN25000900"/>
        <s v="UIN25000901"/>
        <s v="UIN25000902"/>
        <s v="UIN25000903"/>
        <s v="UIN25000904"/>
        <s v="UIN25000905"/>
        <s v="UIN25000906"/>
        <s v="UIN25000907"/>
        <s v="UIN25000908"/>
        <s v="UIN25000909"/>
        <s v="UIN25000910"/>
        <s v="UIN25000911"/>
        <s v="UIN25000912"/>
        <s v="UIN25000913"/>
        <s v="UIN25000914"/>
        <s v="UIN25000915"/>
        <s v="UIN25000916"/>
        <s v="UIN25000917"/>
        <s v="UIN25000918"/>
        <s v="UIN25000919"/>
        <s v="UIN25000920"/>
        <s v="UIN25000921"/>
        <s v="UIN25000922"/>
        <s v="UIN25000923"/>
        <s v="UIN25000924"/>
        <s v="UIN25000925"/>
        <s v="UIN25000926"/>
        <s v="UIN25000927"/>
        <s v="UIN25000928"/>
        <s v="UIN25000929"/>
        <s v="UIN25000930"/>
        <s v="UIN25000931"/>
        <s v="UIN25000932"/>
        <s v="UIN25000933"/>
        <s v="UIN25000934"/>
        <s v="UIN25000935"/>
        <s v="UIN25000936"/>
        <s v="UIN25000937"/>
        <s v="UIN25000938"/>
        <s v="UIN25000939"/>
        <s v="UIN25000940"/>
        <s v="UIN25000941"/>
        <s v="UIN25000942"/>
        <s v="UIN25000943"/>
        <s v="UIN25000944"/>
        <s v="UIN25000945"/>
        <s v="UIN25000946"/>
        <s v="UIN25000947"/>
        <s v="UIN25000948"/>
        <s v="UIN25000949"/>
        <s v="UIN25000950"/>
        <s v="UIN25000951"/>
        <s v="UIN25000952"/>
        <s v="UIN25000953"/>
        <s v="UIN25000954"/>
        <s v="UIN25000955"/>
        <s v="UIN25000956"/>
        <s v="UIN25000957"/>
        <s v="UIN25000958"/>
        <s v="UIN25000959"/>
        <s v="UIN25000960"/>
        <s v="UIN25000961"/>
        <s v="UIN25000962"/>
        <s v="UIN25000963"/>
        <s v="UIN25000964"/>
        <s v="UIN25000965"/>
        <s v="UIN25000966"/>
        <s v="UIN25000967"/>
        <s v="UIN25000968"/>
        <s v="UIN25000969"/>
        <s v="UIN25000970"/>
        <s v="UIN25000971"/>
        <s v="UIN25000972"/>
        <s v="UIN25000973"/>
        <s v="UIN25000974"/>
        <s v="UIN25000975"/>
        <s v="UIN25000976"/>
        <s v="UIN25000977"/>
        <s v="UIN25000978"/>
        <s v="UIN25000979"/>
        <s v="UIN25000980"/>
        <s v="UIN25000981"/>
        <s v="UIN25000982"/>
        <s v="UIN25000983"/>
        <s v="UIN25000984"/>
        <s v="UIN25000985"/>
        <s v="UIN25000986"/>
        <s v="UIN25000987"/>
        <s v="UIN25000988"/>
        <s v="UIN25000989"/>
        <s v="UIN25000990"/>
        <s v="UIN25000991"/>
        <s v="UIN25000992"/>
        <s v="UIN25000993"/>
        <s v="UIN25000994"/>
        <s v="UIN25000995"/>
        <s v="UIN25000996"/>
        <s v="UIN25000997"/>
        <s v="UIN25000998"/>
        <s v="UIN25000999"/>
        <s v="UIN25001000"/>
        <s v="UIN25001001"/>
        <s v="UIN25001002"/>
        <s v="UIN25001003"/>
        <s v="UIN25001004"/>
        <s v="UIN25001005"/>
        <s v="UIN25001006"/>
        <s v="UIN25001007"/>
        <s v="UIN25001008"/>
        <s v="UIN25001009"/>
        <s v="UIN25001010"/>
        <s v="UIN25001011"/>
        <s v="UIN25001012"/>
        <s v="UIN25001013"/>
        <s v="UIN25001014"/>
        <s v="UIN25001015"/>
        <s v="UIN25001016"/>
        <s v="UIN25001017"/>
        <s v="UIN25001018"/>
        <s v="UIN25001019"/>
        <s v="UIN25001020"/>
        <s v="UIN25001021"/>
        <s v="UIN25001022"/>
        <s v="UIN25001023"/>
        <s v="UIN25001024"/>
        <s v="UIN25001025"/>
        <s v="UIN25001026"/>
        <s v="UIN25001027"/>
        <s v="UIN25001028"/>
        <s v="UIN25001029"/>
        <s v="UIN25001030"/>
        <s v="UIN25001031"/>
        <s v="UIN25001032"/>
        <s v="UIN25001033"/>
        <s v="UIN25001034"/>
        <s v="UIN25001035"/>
        <s v="UIN25001036"/>
        <s v="UIN25001037"/>
        <s v="UIN25001038"/>
        <s v="UIN25001039"/>
        <s v="UIN25001040"/>
        <s v="UIN25001041"/>
        <s v="UIN25001042"/>
        <s v="UIN25001043"/>
        <s v="UIN25001044"/>
        <s v="UIN25001045"/>
        <s v="UIN25001046"/>
        <s v="UIN25001047"/>
        <s v="UIN25001048"/>
        <s v="UIN25001049"/>
        <s v="UIN25001050"/>
        <s v="UIN25001051"/>
        <s v="UIN25001052"/>
        <s v="UIN25001053"/>
        <s v="UIN25001054"/>
        <s v="UIN25001055"/>
        <s v="UIN25001056"/>
        <s v="UIN25001057"/>
        <s v="UIN25001058"/>
        <s v="UIN25001059"/>
        <s v="UIN25001060"/>
        <s v="UIN25001061"/>
        <s v="UIN25001062"/>
        <s v="UIN25001063"/>
        <s v="UIN25001064"/>
        <s v="UIN25001065"/>
        <s v="UIN25001066"/>
        <s v="UIN25001067"/>
        <s v="UIN25001068"/>
        <s v="UIN25001069"/>
        <s v="UIN25001070"/>
        <s v="UIN25001071"/>
        <s v="UIN25001072"/>
        <s v="UIN25001073"/>
        <s v="UIN25001074"/>
        <s v="UIN25001075"/>
        <s v="UIN25001076"/>
        <s v="UIN25001077"/>
        <s v="UIN25001078"/>
        <s v="UIN25001079"/>
        <s v="UIN25001080"/>
        <s v="UIN25001081"/>
        <s v="UIN25001082"/>
        <s v="UIN25001083"/>
        <s v="UIN25001084"/>
        <s v="UIN25001085"/>
        <s v="UIN25001086"/>
        <s v="UIN25001087"/>
        <s v="UIN25001088"/>
        <s v="UIN25001089"/>
        <s v="UIN25001090"/>
        <s v="UIN25001091"/>
        <s v="UIN25001092"/>
        <s v="UIN25001093"/>
        <s v="UIN25001094"/>
        <s v="UIN25001095"/>
        <s v="UIN25001096"/>
        <s v="UIN25001097"/>
        <s v="UIN25001098"/>
        <s v="UIN25001099"/>
        <s v="UIN25001100"/>
        <s v="UIN25001101"/>
        <s v="UIN25001102"/>
        <s v="UIN25001103"/>
        <s v="UIN25001104"/>
        <s v="UIN25001105"/>
        <s v="UIN25001106"/>
        <s v="UIN25001107"/>
        <s v="UIN25001108"/>
        <s v="UIN25001109"/>
        <s v="UIN25001110"/>
        <s v="UIN25001111"/>
        <s v="UIN25001112"/>
        <s v="UIN25001113"/>
        <s v="UIN25001114"/>
        <s v="UIN25001115"/>
        <s v="UIN25001116"/>
        <s v="UIN25001117"/>
        <s v="UIN25001118"/>
        <s v="UIN25001119"/>
        <s v="UIN25001120"/>
        <s v="UIN25001121"/>
        <s v="UIN25001122"/>
        <s v="UIN25001123"/>
        <s v="UIN25001124"/>
        <s v="UIN25001125"/>
        <s v="UIN25001126"/>
        <s v="UIN25001127"/>
        <s v="UIN25001128"/>
        <s v="UIN25001129"/>
        <s v="UIN25001130"/>
        <s v="UIN25001131"/>
        <s v="UIN25001132"/>
        <s v="UIN25001133"/>
        <s v="UIN25001134"/>
        <s v="UIN25001135"/>
        <s v="UIN25001136"/>
        <s v="UIN25001137"/>
        <s v="UIN25001138"/>
        <s v="UIN25001139"/>
        <s v="UIN25001140"/>
        <s v="UIN25001141"/>
        <s v="UIN25001142"/>
        <s v="UIN25001143"/>
        <s v="UIN25001144"/>
        <s v="UIN25001145"/>
        <s v="UIN25001146"/>
        <s v="UIN25001147"/>
        <s v="UIN25001148"/>
        <s v="UIN25001149"/>
        <s v="UIN25001150"/>
        <s v="UIN25001151"/>
        <s v="UIN25001152"/>
        <s v="UIN25001153"/>
        <s v="UIN25001154"/>
        <s v="UIN25001155"/>
        <s v="UIN25001156"/>
        <s v="UIN25001157"/>
        <s v="UIN25001158"/>
        <s v="UIN25001159"/>
        <s v="UIN25001160"/>
        <s v="UIN25001161"/>
        <s v="UIN25001162"/>
        <s v="UIN25001163"/>
        <s v="UIN25001164"/>
        <s v="UIN25001165"/>
        <s v="UIN25001166"/>
        <s v="UIN25001167"/>
        <s v="UIN25001168"/>
        <s v="UIN25001169"/>
        <s v="UIN25001170"/>
        <s v="UIN25001171"/>
        <s v="UIN25001172"/>
        <s v="UIN25001173"/>
        <s v="UIN25001174"/>
        <s v="UIN25001175"/>
        <s v="UIN25001176"/>
        <s v="UIN25001177"/>
        <s v="UIN25001178"/>
        <s v="UIN25001179"/>
        <s v="UIN25001180"/>
        <s v="UIN25001181"/>
        <s v="UIN25001182"/>
        <s v="UIN25001183"/>
        <s v="UIN25001184"/>
        <s v="UIN25001185"/>
        <s v="UIN25001186"/>
        <s v="UIN25001187"/>
        <s v="UIN25001188"/>
        <s v="UIN25001189"/>
        <s v="UIN25001190"/>
        <s v="UIN25001191"/>
        <s v="UIN25001192"/>
        <s v="UIN25001193"/>
        <s v="UIN25001194"/>
        <s v="UIN25001195"/>
        <s v="UIN25001196"/>
        <s v="UIN25001197"/>
        <s v="UIN25001198"/>
        <s v="UIN25001199"/>
        <s v="UIN25001200"/>
      </sharedItems>
    </cacheField>
    <cacheField name="Date" numFmtId="0">
      <sharedItems count="90">
        <s v="2025-06-22"/>
        <s v="2025-05-31"/>
        <s v="2025-07-11"/>
        <s v="2025-06-14"/>
        <s v="2025-06-12"/>
        <s v="2025-07-14"/>
        <s v="2025-05-18"/>
        <s v="2025-05-29"/>
        <s v="2025-07-01"/>
        <s v="2025-05-23"/>
        <s v="2025-06-02"/>
        <s v="2025-07-27"/>
        <s v="2025-06-11"/>
        <s v="2025-08-10"/>
        <s v="2025-06-16"/>
        <s v="2025-07-04"/>
        <s v="2025-06-21"/>
        <s v="2025-08-07"/>
        <s v="2025-07-16"/>
        <s v="2025-08-14"/>
        <s v="2025-06-28"/>
        <s v="2025-05-22"/>
        <s v="2025-06-27"/>
        <s v="2025-08-08"/>
        <s v="2025-06-04"/>
        <s v="2025-07-31"/>
        <s v="2025-06-15"/>
        <s v="2025-05-24"/>
        <s v="2025-08-06"/>
        <s v="2025-05-26"/>
        <s v="2025-05-19"/>
        <s v="2025-07-25"/>
        <s v="2025-07-12"/>
        <s v="2025-06-20"/>
        <s v="2025-07-24"/>
        <s v="2025-07-03"/>
        <s v="2025-05-25"/>
        <s v="2025-07-19"/>
        <s v="2025-07-26"/>
        <s v="2025-06-26"/>
        <s v="2025-07-23"/>
        <s v="2025-08-01"/>
        <s v="2025-07-22"/>
        <s v="2025-07-30"/>
        <s v="2025-07-17"/>
        <s v="2025-05-30"/>
        <s v="2025-07-08"/>
        <s v="2025-06-10"/>
        <s v="2025-05-27"/>
        <s v="2025-08-09"/>
        <s v="2025-06-17"/>
        <s v="2025-07-18"/>
        <s v="2025-06-08"/>
        <s v="2025-08-02"/>
        <s v="2025-06-13"/>
        <s v="2025-07-29"/>
        <s v="2025-08-03"/>
        <s v="2025-08-13"/>
        <s v="2025-07-28"/>
        <s v="2025-06-06"/>
        <s v="2025-06-07"/>
        <s v="2025-05-21"/>
        <s v="2025-07-09"/>
        <s v="2025-06-29"/>
        <s v="2025-06-25"/>
        <s v="2025-06-24"/>
        <s v="2025-07-10"/>
        <s v="2025-06-09"/>
        <s v="2025-06-23"/>
        <s v="2025-07-13"/>
        <s v="2025-05-28"/>
        <s v="2025-06-18"/>
        <s v="2025-08-15"/>
        <s v="2025-07-06"/>
        <s v="2025-07-02"/>
        <s v="2025-08-12"/>
        <s v="2025-08-05"/>
        <s v="2025-07-05"/>
        <s v="2025-05-20"/>
        <s v="2025-08-11"/>
        <s v="2025-07-21"/>
        <s v="2025-08-04"/>
        <s v="2025-07-15"/>
        <s v="2025-06-03"/>
        <s v="2025-06-01"/>
        <s v="2025-06-05"/>
        <s v="2025-07-20"/>
        <s v="2025-06-19"/>
        <s v="2025-07-07"/>
        <s v="2025-06-30"/>
      </sharedItems>
      <fieldGroup par="15"/>
    </cacheField>
    <cacheField name="Time" numFmtId="0">
      <sharedItems count="770">
        <s v="21:15"/>
        <s v="10:43"/>
        <s v="14:02"/>
        <s v="03:14"/>
        <s v="08:45"/>
        <s v="18:37"/>
        <s v="16:48"/>
        <s v="18:21"/>
        <s v="18:48"/>
        <s v="18:24"/>
        <s v="10:38"/>
        <s v="20:46"/>
        <s v="14:59"/>
        <s v="21:18"/>
        <s v="20:45"/>
        <s v="15:14"/>
        <s v="18:55"/>
        <s v="18:29"/>
        <s v="21:22"/>
        <s v="21:44"/>
        <s v="09:10"/>
        <s v="11:24"/>
        <s v="10:35"/>
        <s v="14:53"/>
        <s v="09:51"/>
        <s v="01:04"/>
        <s v="12:13"/>
        <s v="02:29"/>
        <s v="20:15"/>
        <s v="17:27"/>
        <s v="21:08"/>
        <s v="20:55"/>
        <s v="18:10"/>
        <s v="06:24"/>
        <s v="18:33"/>
        <s v="11:43"/>
        <s v="08:21"/>
        <s v="20:10"/>
        <s v="07:32"/>
        <s v="19:55"/>
        <s v="16:32"/>
        <s v="07:48"/>
        <s v="16:58"/>
        <s v="07:31"/>
        <s v="04:56"/>
        <s v="16:15"/>
        <s v="13:52"/>
        <s v="14:49"/>
        <s v="13:30"/>
        <s v="15:55"/>
        <s v="14:48"/>
        <s v="18:25"/>
        <s v="13:28"/>
        <s v="13:04"/>
        <s v="18:35"/>
        <s v="13:00"/>
        <s v="21:03"/>
        <s v="03:55"/>
        <s v="17:15"/>
        <s v="13:13"/>
        <s v="15:36"/>
        <s v="18:51"/>
        <s v="12:06"/>
        <s v="13:26"/>
        <s v="12:43"/>
        <s v="17:46"/>
        <s v="09:15"/>
        <s v="08:28"/>
        <s v="09:17"/>
        <s v="12:28"/>
        <s v="20:34"/>
        <s v="12:10"/>
        <s v="10:13"/>
        <s v="10:24"/>
        <s v="17:59"/>
        <s v="18:44"/>
        <s v="09:18"/>
        <s v="10:47"/>
        <s v="02:03"/>
        <s v="18:32"/>
        <s v="01:05"/>
        <s v="23:04"/>
        <s v="10:56"/>
        <s v="06:02"/>
        <s v="09:37"/>
        <s v="17:42"/>
        <s v="17:25"/>
        <s v="19:19"/>
        <s v="07:00"/>
        <s v="10:06"/>
        <s v="12:32"/>
        <s v="12:56"/>
        <s v="03:18"/>
        <s v="07:45"/>
        <s v="13:33"/>
        <s v="18:19"/>
        <s v="14:07"/>
        <s v="16:09"/>
        <s v="19:13"/>
        <s v="22:40"/>
        <s v="16:16"/>
        <s v="23:27"/>
        <s v="07:35"/>
        <s v="08:56"/>
        <s v="07:53"/>
        <s v="23:09"/>
        <s v="03:19"/>
        <s v="21:57"/>
        <s v="20:56"/>
        <s v="00:59"/>
        <s v="11:51"/>
        <s v="17:11"/>
        <s v="14:50"/>
        <s v="19:54"/>
        <s v="09:52"/>
        <s v="02:52"/>
        <s v="11:42"/>
        <s v="08:17"/>
        <s v="16:22"/>
        <s v="09:11"/>
        <s v="04:38"/>
        <s v="13:27"/>
        <s v="06:12"/>
        <s v="10:04"/>
        <s v="12:42"/>
        <s v="10:32"/>
        <s v="00:20"/>
        <s v="12:35"/>
        <s v="18:42"/>
        <s v="06:39"/>
        <s v="00:53"/>
        <s v="06:13"/>
        <s v="14:38"/>
        <s v="21:28"/>
        <s v="09:50"/>
        <s v="13:18"/>
        <s v="18:43"/>
        <s v="15:09"/>
        <s v="20:30"/>
        <s v="15:56"/>
        <s v="19:24"/>
        <s v="08:49"/>
        <s v="18:15"/>
        <s v="22:35"/>
        <s v="22:39"/>
        <s v="06:28"/>
        <s v="14:28"/>
        <s v="08:53"/>
        <s v="13:31"/>
        <s v="18:04"/>
        <s v="23:21"/>
        <s v="23:08"/>
        <s v="20:44"/>
        <s v="18:34"/>
        <s v="08:13"/>
        <s v="10:44"/>
        <s v="14:24"/>
        <s v="20:19"/>
        <s v="10:34"/>
        <s v="23:17"/>
        <s v="14:51"/>
        <s v="13:53"/>
        <s v="00:34"/>
        <s v="13:36"/>
        <s v="10:27"/>
        <s v="06:11"/>
        <s v="07:20"/>
        <s v="10:21"/>
        <s v="18:16"/>
        <s v="20:47"/>
        <s v="15:41"/>
        <s v="08:02"/>
        <s v="19:53"/>
        <s v="11:07"/>
        <s v="20:16"/>
        <s v="07:38"/>
        <s v="15:19"/>
        <s v="20:59"/>
        <s v="09:58"/>
        <s v="19:04"/>
        <s v="21:49"/>
        <s v="18:38"/>
        <s v="16:50"/>
        <s v="14:27"/>
        <s v="10:41"/>
        <s v="19:52"/>
        <s v="17:23"/>
        <s v="05:27"/>
        <s v="12:41"/>
        <s v="18:49"/>
        <s v="14:52"/>
        <s v="22:53"/>
        <s v="18:31"/>
        <s v="06:21"/>
        <s v="14:56"/>
        <s v="08:33"/>
        <s v="13:46"/>
        <s v="10:48"/>
        <s v="07:41"/>
        <s v="10:05"/>
        <s v="12:44"/>
        <s v="08:37"/>
        <s v="10:17"/>
        <s v="14:47"/>
        <s v="19:47"/>
        <s v="11:48"/>
        <s v="19:18"/>
        <s v="16:19"/>
        <s v="10:08"/>
        <s v="21:35"/>
        <s v="23:40"/>
        <s v="08:36"/>
        <s v="16:28"/>
        <s v="17:16"/>
        <s v="16:25"/>
        <s v="17:40"/>
        <s v="06:51"/>
        <s v="05:24"/>
        <s v="08:55"/>
        <s v="19:39"/>
        <s v="08:16"/>
        <s v="08:11"/>
        <s v="17:26"/>
        <s v="07:30"/>
        <s v="08:04"/>
        <s v="16:37"/>
        <s v="13:34"/>
        <s v="18:58"/>
        <s v="09:38"/>
        <s v="11:29"/>
        <s v="19:38"/>
        <s v="10:14"/>
        <s v="21:48"/>
        <s v="11:41"/>
        <s v="12:37"/>
        <s v="15:05"/>
        <s v="16:21"/>
        <s v="06:54"/>
        <s v="22:44"/>
        <s v="10:25"/>
        <s v="15:20"/>
        <s v="12:49"/>
        <s v="18:52"/>
        <s v="08:29"/>
        <s v="18:40"/>
        <s v="00:13"/>
        <s v="04:59"/>
        <s v="03:38"/>
        <s v="10:29"/>
        <s v="10:31"/>
        <s v="12:26"/>
        <s v="05:29"/>
        <s v="12:58"/>
        <s v="07:17"/>
        <s v="00:17"/>
        <s v="16:53"/>
        <s v="15:28"/>
        <s v="13:35"/>
        <s v="07:55"/>
        <s v="12:36"/>
        <s v="15:02"/>
        <s v="04:45"/>
        <s v="12:08"/>
        <s v="09:55"/>
        <s v="15:58"/>
        <s v="05:50"/>
        <s v="11:44"/>
        <s v="08:54"/>
        <s v="12:54"/>
        <s v="17:45"/>
        <s v="09:02"/>
        <s v="06:43"/>
        <s v="12:27"/>
        <s v="19:45"/>
        <s v="15:44"/>
        <s v="17:20"/>
        <s v="12:23"/>
        <s v="15:33"/>
        <s v="07:05"/>
        <s v="14:15"/>
        <s v="23:14"/>
        <s v="16:29"/>
        <s v="12:57"/>
        <s v="15:34"/>
        <s v="15:22"/>
        <s v="15:12"/>
        <s v="20:06"/>
        <s v="11:22"/>
        <s v="15:01"/>
        <s v="06:36"/>
        <s v="20:53"/>
        <s v="02:38"/>
        <s v="20:12"/>
        <s v="15:57"/>
        <s v="14:05"/>
        <s v="02:56"/>
        <s v="13:58"/>
        <s v="11:16"/>
        <s v="11:47"/>
        <s v="14:23"/>
        <s v="14:00"/>
        <s v="20:29"/>
        <s v="01:23"/>
        <s v="16:20"/>
        <s v="13:40"/>
        <s v="19:02"/>
        <s v="10:07"/>
        <s v="20:08"/>
        <s v="11:56"/>
        <s v="07:23"/>
        <s v="19:17"/>
        <s v="06:05"/>
        <s v="20:38"/>
        <s v="18:13"/>
        <s v="04:21"/>
        <s v="17:07"/>
        <s v="08:01"/>
        <s v="15:08"/>
        <s v="12:47"/>
        <s v="16:49"/>
        <s v="16:06"/>
        <s v="14:39"/>
        <s v="07:33"/>
        <s v="11:01"/>
        <s v="16:27"/>
        <s v="15:04"/>
        <s v="00:33"/>
        <s v="04:07"/>
        <s v="15:46"/>
        <s v="08:20"/>
        <s v="07:43"/>
        <s v="18:06"/>
        <s v="17:35"/>
        <s v="09:35"/>
        <s v="15:26"/>
        <s v="13:48"/>
        <s v="06:18"/>
        <s v="09:36"/>
        <s v="10:30"/>
        <s v="18:22"/>
        <s v="11:36"/>
        <s v="11:54"/>
        <s v="21:53"/>
        <s v="23:00"/>
        <s v="19:36"/>
        <s v="15:47"/>
        <s v="11:17"/>
        <s v="08:31"/>
        <s v="05:13"/>
        <s v="18:07"/>
        <s v="06:37"/>
        <s v="17:38"/>
        <s v="22:19"/>
        <s v="17:48"/>
        <s v="16:07"/>
        <s v="12:11"/>
        <s v="02:55"/>
        <s v="19:29"/>
        <s v="12:25"/>
        <s v="12:51"/>
        <s v="11:14"/>
        <s v="22:04"/>
        <s v="12:12"/>
        <s v="08:52"/>
        <s v="08:38"/>
        <s v="12:04"/>
        <s v="19:31"/>
        <s v="20:48"/>
        <s v="16:41"/>
        <s v="21:20"/>
        <s v="18:30"/>
        <s v="10:22"/>
        <s v="17:55"/>
        <s v="19:35"/>
        <s v="17:41"/>
        <s v="11:06"/>
        <s v="12:45"/>
        <s v="21:58"/>
        <s v="07:49"/>
        <s v="18:03"/>
        <s v="05:06"/>
        <s v="11:46"/>
        <s v="10:45"/>
        <s v="08:42"/>
        <s v="09:49"/>
        <s v="13:54"/>
        <s v="09:53"/>
        <s v="21:56"/>
        <s v="09:09"/>
        <s v="20:49"/>
        <s v="12:46"/>
        <s v="05:15"/>
        <s v="13:57"/>
        <s v="18:36"/>
        <s v="13:49"/>
        <s v="09:26"/>
        <s v="17:03"/>
        <s v="18:54"/>
        <s v="02:48"/>
        <s v="18:05"/>
        <s v="20:03"/>
        <s v="19:15"/>
        <s v="07:14"/>
        <s v="17:53"/>
        <s v="16:08"/>
        <s v="07:28"/>
        <s v="07:16"/>
        <s v="09:29"/>
        <s v="21:38"/>
        <s v="22:18"/>
        <s v="05:22"/>
        <s v="13:11"/>
        <s v="22:02"/>
        <s v="20:22"/>
        <s v="06:40"/>
        <s v="08:47"/>
        <s v="16:11"/>
        <s v="15:40"/>
        <s v="16:04"/>
        <s v="16:12"/>
        <s v="04:30"/>
        <s v="22:51"/>
        <s v="20:23"/>
        <s v="16:46"/>
        <s v="13:38"/>
        <s v="09:20"/>
        <s v="20:42"/>
        <s v="06:38"/>
        <s v="22:46"/>
        <s v="17:17"/>
        <s v="08:40"/>
        <s v="15:51"/>
        <s v="21:54"/>
        <s v="05:23"/>
        <s v="02:36"/>
        <s v="14:25"/>
        <s v="13:15"/>
        <s v="06:31"/>
        <s v="16:13"/>
        <s v="21:12"/>
        <s v="11:05"/>
        <s v="08:18"/>
        <s v="19:23"/>
        <s v="13:08"/>
        <s v="06:25"/>
        <s v="10:49"/>
        <s v="11:04"/>
        <s v="16:33"/>
        <s v="00:27"/>
        <s v="23:33"/>
        <s v="10:10"/>
        <s v="17:22"/>
        <s v="05:16"/>
        <s v="15:17"/>
        <s v="10:39"/>
        <s v="15:10"/>
        <s v="09:39"/>
        <s v="03:02"/>
        <s v="00:41"/>
        <s v="19:49"/>
        <s v="20:18"/>
        <s v="13:51"/>
        <s v="00:04"/>
        <s v="08:26"/>
        <s v="20:21"/>
        <s v="19:48"/>
        <s v="09:06"/>
        <s v="12:07"/>
        <s v="17:09"/>
        <s v="12:24"/>
        <s v="15:52"/>
        <s v="08:12"/>
        <s v="07:29"/>
        <s v="16:01"/>
        <s v="12:29"/>
        <s v="09:22"/>
        <s v="19:00"/>
        <s v="18:56"/>
        <s v="03:48"/>
        <s v="22:25"/>
        <s v="09:12"/>
        <s v="05:04"/>
        <s v="23:48"/>
        <s v="08:43"/>
        <s v="11:25"/>
        <s v="18:12"/>
        <s v="13:02"/>
        <s v="21:09"/>
        <s v="10:20"/>
        <s v="17:32"/>
        <s v="15:23"/>
        <s v="06:26"/>
        <s v="09:40"/>
        <s v="19:16"/>
        <s v="20:37"/>
        <s v="19:40"/>
        <s v="08:07"/>
        <s v="09:45"/>
        <s v="20:43"/>
        <s v="12:19"/>
        <s v="16:45"/>
        <s v="14:20"/>
        <s v="10:59"/>
        <s v="14:41"/>
        <s v="03:39"/>
        <s v="09:42"/>
        <s v="14:03"/>
        <s v="06:59"/>
        <s v="13:12"/>
        <s v="09:41"/>
        <s v="05:41"/>
        <s v="08:59"/>
        <s v="13:50"/>
        <s v="13:56"/>
        <s v="16:36"/>
        <s v="01:29"/>
        <s v="07:21"/>
        <s v="20:41"/>
        <s v="10:00"/>
        <s v="10:36"/>
        <s v="16:54"/>
        <s v="15:32"/>
        <s v="16:42"/>
        <s v="09:30"/>
        <s v="09:48"/>
        <s v="14:37"/>
        <s v="08:23"/>
        <s v="15:07"/>
        <s v="13:25"/>
        <s v="21:14"/>
        <s v="19:09"/>
        <s v="18:23"/>
        <s v="17:51"/>
        <s v="15:43"/>
        <s v="14:33"/>
        <s v="08:09"/>
        <s v="22:45"/>
        <s v="21:32"/>
        <s v="13:03"/>
        <s v="10:46"/>
        <s v="17:52"/>
        <s v="11:37"/>
        <s v="18:59"/>
        <s v="11:28"/>
        <s v="23:43"/>
        <s v="09:19"/>
        <s v="16:02"/>
        <s v="14:43"/>
        <s v="15:18"/>
        <s v="19:56"/>
        <s v="13:14"/>
        <s v="08:19"/>
        <s v="17:30"/>
        <s v="10:19"/>
        <s v="13:05"/>
        <s v="22:24"/>
        <s v="07:13"/>
        <s v="18:47"/>
        <s v="23:35"/>
        <s v="00:22"/>
        <s v="19:58"/>
        <s v="16:35"/>
        <s v="19:46"/>
        <s v="07:46"/>
        <s v="23:46"/>
        <s v="18:53"/>
        <s v="15:00"/>
        <s v="01:01"/>
        <s v="19:26"/>
        <s v="14:01"/>
        <s v="15:16"/>
        <s v="08:05"/>
        <s v="21:19"/>
        <s v="12:48"/>
        <s v="21:24"/>
        <s v="22:05"/>
        <s v="09:57"/>
        <s v="07:01"/>
        <s v="12:50"/>
        <s v="09:31"/>
        <s v="20:24"/>
        <s v="14:45"/>
        <s v="18:00"/>
        <s v="08:48"/>
        <s v="00:38"/>
        <s v="06:00"/>
        <s v="11:10"/>
        <s v="18:17"/>
        <s v="07:09"/>
        <s v="16:17"/>
        <s v="22:50"/>
        <s v="07:15"/>
        <s v="05:19"/>
        <s v="19:28"/>
        <s v="19:11"/>
        <s v="19:01"/>
        <s v="09:28"/>
        <s v="14:08"/>
        <s v="19:50"/>
        <s v="16:34"/>
        <s v="04:42"/>
        <s v="07:39"/>
        <s v="13:06"/>
        <s v="21:25"/>
        <s v="05:58"/>
        <s v="20:50"/>
        <s v="14:22"/>
        <s v="10:01"/>
        <s v="21:43"/>
        <s v="21:33"/>
        <s v="21:51"/>
        <s v="18:11"/>
        <s v="15:27"/>
        <s v="09:13"/>
        <s v="07:34"/>
        <s v="03:20"/>
        <s v="05:55"/>
        <s v="20:35"/>
        <s v="21:01"/>
        <s v="06:17"/>
        <s v="07:10"/>
        <s v="13:17"/>
        <s v="10:28"/>
        <s v="20:13"/>
        <s v="16:40"/>
        <s v="08:08"/>
        <s v="23:57"/>
        <s v="15:45"/>
        <s v="13:24"/>
        <s v="10:50"/>
        <s v="06:52"/>
        <s v="15:50"/>
        <s v="09:01"/>
        <s v="05:42"/>
        <s v="14:40"/>
        <s v="09:05"/>
        <s v="15:30"/>
        <s v="08:30"/>
        <s v="16:05"/>
        <s v="22:49"/>
        <s v="22:00"/>
        <s v="05:46"/>
        <s v="00:58"/>
        <s v="17:08"/>
        <s v="08:22"/>
        <s v="08:15"/>
        <s v="20:31"/>
        <s v="16:43"/>
        <s v="17:49"/>
        <s v="11:49"/>
        <s v="19:25"/>
        <s v="08:34"/>
        <s v="08:51"/>
        <s v="15:25"/>
        <s v="07:27"/>
        <s v="21:47"/>
        <s v="13:45"/>
        <s v="14:10"/>
        <s v="10:33"/>
        <s v="09:08"/>
        <s v="20:17"/>
        <s v="10:40"/>
        <s v="20:32"/>
        <s v="22:54"/>
        <s v="12:16"/>
        <s v="12:00"/>
        <s v="02:15"/>
        <s v="00:35"/>
        <s v="23:51"/>
        <s v="22:56"/>
        <s v="17:12"/>
        <s v="15:37"/>
        <s v="18:46"/>
        <s v="11:59"/>
        <s v="12:34"/>
        <s v="23:06"/>
        <s v="05:08"/>
        <s v="13:44"/>
        <s v="22:08"/>
        <s v="06:10"/>
        <s v="10:26"/>
        <s v="14:29"/>
        <s v="07:19"/>
        <s v="06:22"/>
        <s v="14:35"/>
        <s v="08:03"/>
        <s v="12:52"/>
        <s v="07:40"/>
        <s v="09:16"/>
        <s v="10:12"/>
        <s v="02:13"/>
        <s v="18:28"/>
        <s v="13:39"/>
        <s v="05:56"/>
        <s v="18:50"/>
        <s v="00:32"/>
        <s v="06:14"/>
        <s v="09:03"/>
        <s v="21:52"/>
        <s v="14:36"/>
        <s v="04:11"/>
        <s v="23:45"/>
        <s v="06:09"/>
        <s v="03:34"/>
        <s v="07:02"/>
        <s v="15:38"/>
        <s v="11:30"/>
        <s v="01:09"/>
        <s v="14:54"/>
        <s v="21:45"/>
        <s v="01:21"/>
        <s v="07:44"/>
        <s v="08:46"/>
        <s v="09:25"/>
        <s v="13:20"/>
        <s v="19:06"/>
        <s v="09:47"/>
        <s v="06:20"/>
        <s v="06:16"/>
        <s v="12:31"/>
        <s v="07:24"/>
        <s v="21:50"/>
        <s v="20:04"/>
        <s v="18:20"/>
        <s v="19:21"/>
        <s v="03:46"/>
        <s v="15:21"/>
        <s v="18:27"/>
        <s v="11:19"/>
        <s v="11:18"/>
        <s v="10:18"/>
        <s v="06:19"/>
        <s v="20:28"/>
        <s v="07:22"/>
        <s v="18:14"/>
        <s v="00:55"/>
        <s v="21:30"/>
        <s v="14:57"/>
        <s v="07:57"/>
        <s v="15:11"/>
        <s v="19:08"/>
        <s v="02:37"/>
        <s v="06:49"/>
        <s v="06:55"/>
        <s v="15:24"/>
        <s v="17:54"/>
        <s v="04:08"/>
        <s v="14:32"/>
        <s v="17:56"/>
        <s v="09:32"/>
        <s v="07:37"/>
        <s v="06:03"/>
        <s v="18:41"/>
        <s v="03:41"/>
        <s v="16:14"/>
        <s v="06:45"/>
        <s v="17:33"/>
        <s v="11:00"/>
        <s v="17:18"/>
        <s v="11:32"/>
        <s v="19:14"/>
        <s v="11:23"/>
        <s v="21:55"/>
        <s v="21:27"/>
        <s v="12:30"/>
        <s v="20:00"/>
        <s v="19:12"/>
        <s v="11:38"/>
        <s v="17:13"/>
        <s v="19:10"/>
      </sharedItems>
    </cacheField>
    <cacheField name="City" numFmtId="0">
      <sharedItems count="9">
        <s v="Bangalore"/>
        <s v="Mumbai"/>
        <s v="Hyderabad"/>
        <s v="Delhi"/>
        <s v="Ahmedabad"/>
        <s v="Kolkata"/>
        <s v="Pune"/>
        <s v="Jaipur"/>
        <s v="Chennai"/>
      </sharedItems>
    </cacheField>
    <cacheField name="Pickup_Area" numFmtId="0">
      <sharedItems count="72">
        <s v="MG Road"/>
        <s v="Powai"/>
        <s v="Bandra"/>
        <s v="Gachibowli"/>
        <s v="Connaught Place"/>
        <s v="Thaltej"/>
        <s v="New Town"/>
        <s v="Kothrud"/>
        <s v="Secunderabad"/>
        <s v="Pune Station"/>
        <s v="Saket"/>
        <s v="Koramangala"/>
        <s v="Jagatpura"/>
        <s v="Yeshwanthpur"/>
        <s v="Gurgaon Cyber City"/>
        <s v="Navrangpura"/>
        <s v="C-Scheme"/>
        <s v="Sabarmati"/>
        <s v="Viman Nagar"/>
        <s v="Indiranagar"/>
        <s v="Bopal"/>
        <s v="Andheri"/>
        <s v="Adyar"/>
        <s v="Maninagar"/>
        <s v="Hauz Khas"/>
        <s v="Karol Bagh"/>
        <s v="GIFT City"/>
        <s v="Baner"/>
        <s v="Airport"/>
        <s v="IGI Airport"/>
        <s v="Banjara Hills"/>
        <s v="Hitech City"/>
        <s v="Howrah"/>
        <s v="BKC"/>
        <s v="Tambaram"/>
        <s v="Koregaon Park"/>
        <s v="Hebbal"/>
        <s v="Thane"/>
        <s v="Chennai Airport"/>
        <s v="Ajmer Road"/>
        <s v="Noida Sector 18"/>
        <s v="Jadavpur"/>
        <s v="SG Highway"/>
        <s v="Wakad"/>
        <s v="Salt Lake"/>
        <s v="Dwarka"/>
        <s v="Dadar"/>
        <s v="HSR Layout"/>
        <s v="Magarpatta"/>
        <s v="Colaba"/>
        <s v="Vaishali Nagar"/>
        <s v="Whitefield"/>
        <s v="T Nagar"/>
        <s v="Esplanade"/>
        <s v="Guindy"/>
        <s v="Charminar"/>
        <s v="Park Street"/>
        <s v="Anna Nagar"/>
        <s v="Mansarovar"/>
        <s v="Navi Mumbai"/>
        <s v="Hinjewadi"/>
        <s v="Jubilee Hills"/>
        <s v="OMR"/>
        <s v="MI Road"/>
        <s v="Velachery"/>
        <s v="Electronic City"/>
        <s v="Madhapur"/>
        <s v="Malviya Nagar"/>
        <s v="Dumdum"/>
        <s v="Raja Park"/>
        <s v="Shamshabad Airport"/>
        <s v="Garia"/>
      </sharedItems>
    </cacheField>
    <cacheField name="Drop_Area" numFmtId="0">
      <sharedItems count="72">
        <s v="Whitefield"/>
        <s v="Bandra"/>
        <s v="BKC"/>
        <s v="Hitech City"/>
        <s v="Gurgaon Cyber City"/>
        <s v="Navrangpura"/>
        <s v="Jadavpur"/>
        <s v="Wakad"/>
        <s v="Hinjewadi"/>
        <s v="Noida Sector 18"/>
        <s v="Hebbal"/>
        <s v="Raja Park"/>
        <s v="IGI Airport"/>
        <s v="SG Highway"/>
        <s v="HSR Layout"/>
        <s v="MG Road"/>
        <s v="Garia"/>
        <s v="Thaltej"/>
        <s v="Dadar"/>
        <s v="Tambaram"/>
        <s v="MI Road"/>
        <s v="Bopal"/>
        <s v="Electronic City"/>
        <s v="Connaught Place"/>
        <s v="Vaishali Nagar"/>
        <s v="GIFT City"/>
        <s v="Sabarmati"/>
        <s v="Powai"/>
        <s v="Hauz Khas"/>
        <s v="Jubilee Hills"/>
        <s v="Park Street"/>
        <s v="Shamshabad Airport"/>
        <s v="Saket"/>
        <s v="Yeshwanthpur"/>
        <s v="Kothrud"/>
        <s v="Karol Bagh"/>
        <s v="T Nagar"/>
        <s v="Andheri"/>
        <s v="Maninagar"/>
        <s v="OMR"/>
        <s v="Jagatpura"/>
        <s v="Koregaon Park"/>
        <s v="Indiranagar"/>
        <s v="New Town"/>
        <s v="Velachery"/>
        <s v="Guindy"/>
        <s v="Thane"/>
        <s v="Anna Nagar"/>
        <s v="Pune Station"/>
        <s v="Koramangala"/>
        <s v="Ajmer Road"/>
        <s v="Colaba"/>
        <s v="Dwarka"/>
        <s v="Banjara Hills"/>
        <s v="Mansarovar"/>
        <s v="Malviya Nagar"/>
        <s v="Magarpatta"/>
        <s v="Chennai Airport"/>
        <s v="Secunderabad"/>
        <s v="Charminar"/>
        <s v="C-Scheme"/>
        <s v="Esplanade"/>
        <s v="Salt Lake"/>
        <s v="Dumdum"/>
        <s v="Viman Nagar"/>
        <s v="Baner"/>
        <s v="Howrah"/>
        <s v="Madhapur"/>
        <s v="Navi Mumbai"/>
        <s v="Gachibowli"/>
        <s v="Airport"/>
        <s v="Adyar"/>
      </sharedItems>
    </cacheField>
    <cacheField name="Vehicle_Type" numFmtId="0">
      <sharedItems count="6">
        <s v="Uber Comfort"/>
        <s v="UberX"/>
        <s v="UberXL"/>
        <s v="Uber Green"/>
        <s v="Uber Auto"/>
        <s v="Uber Black"/>
      </sharedItems>
    </cacheField>
    <cacheField name="Distance_km" numFmtId="0">
      <sharedItems containsSemiMixedTypes="0" containsString="0" containsNumber="1" minValue="1" maxValue="32.9" count="192">
        <n v="2.5"/>
        <n v="9.5"/>
        <n v="7.1"/>
        <n v="20"/>
        <n v="1.7"/>
        <n v="3"/>
        <n v="5.7"/>
        <n v="3.9"/>
        <n v="5.6"/>
        <n v="9.3000000000000007"/>
        <n v="7.6"/>
        <n v="26.8"/>
        <n v="2.8"/>
        <n v="5.9"/>
        <n v="1.8"/>
        <n v="5"/>
        <n v="8.8000000000000007"/>
        <n v="8.3000000000000007"/>
        <n v="6"/>
        <n v="11.5"/>
        <n v="8.1"/>
        <n v="6.6"/>
        <n v="10.1"/>
        <n v="12.2"/>
        <n v="17"/>
        <n v="9"/>
        <n v="3.7"/>
        <n v="17.100000000000001"/>
        <n v="3.2"/>
        <n v="4.2"/>
        <n v="17.3"/>
        <n v="3.5"/>
        <n v="12.8"/>
        <n v="4.0999999999999996"/>
        <n v="6.8"/>
        <n v="10.3"/>
        <n v="6.5"/>
        <n v="6.7"/>
        <n v="2"/>
        <n v="4.3"/>
        <n v="4"/>
        <n v="13.5"/>
        <n v="17.5"/>
        <n v="20.6"/>
        <n v="8.6"/>
        <n v="5.8"/>
        <n v="4.8"/>
        <n v="3.3"/>
        <n v="15.7"/>
        <n v="6.3"/>
        <n v="7.5"/>
        <n v="11.3"/>
        <n v="1"/>
        <n v="19"/>
        <n v="7.4"/>
        <n v="14.5"/>
        <n v="12.7"/>
        <n v="9.6999999999999993"/>
        <n v="1.2"/>
        <n v="13.6"/>
        <n v="5.2"/>
        <n v="10.6"/>
        <n v="4.9000000000000004"/>
        <n v="3.1"/>
        <n v="1.6"/>
        <n v="3.4"/>
        <n v="2.2000000000000002"/>
        <n v="11.7"/>
        <n v="4.5"/>
        <n v="2.7"/>
        <n v="11.6"/>
        <n v="15.6"/>
        <n v="13.9"/>
        <n v="2.9"/>
        <n v="2.1"/>
        <n v="12.6"/>
        <n v="5.4"/>
        <n v="6.1"/>
        <n v="7.3"/>
        <n v="4.7"/>
        <n v="19.7"/>
        <n v="8.6999999999999993"/>
        <n v="12.4"/>
        <n v="2.4"/>
        <n v="6.9"/>
        <n v="8.1999999999999993"/>
        <n v="9.4"/>
        <n v="2.6"/>
        <n v="13.7"/>
        <n v="10.9"/>
        <n v="14.2"/>
        <n v="6.4"/>
        <n v="14.6"/>
        <n v="13.2"/>
        <n v="5.3"/>
        <n v="10.5"/>
        <n v="8.5"/>
        <n v="3.8"/>
        <n v="15.9"/>
        <n v="14"/>
        <n v="11.8"/>
        <n v="3.6"/>
        <n v="7"/>
        <n v="1.1000000000000001"/>
        <n v="20.399999999999999"/>
        <n v="8"/>
        <n v="10.8"/>
        <n v="5.0999999999999996"/>
        <n v="11"/>
        <n v="7.8"/>
        <n v="9.6"/>
        <n v="1.5"/>
        <n v="10"/>
        <n v="6.2"/>
        <n v="10.4"/>
        <n v="9.1"/>
        <n v="14.3"/>
        <n v="14.4"/>
        <n v="7.2"/>
        <n v="1.9"/>
        <n v="14.8"/>
        <n v="8.4"/>
        <n v="13.4"/>
        <n v="10.7"/>
        <n v="13.3"/>
        <n v="18.399999999999999"/>
        <n v="7.9"/>
        <n v="4.4000000000000004"/>
        <n v="14.1"/>
        <n v="12.9"/>
        <n v="4.5999999999999996"/>
        <n v="16.3"/>
        <n v="11.2"/>
        <n v="1.3"/>
        <n v="2.2999999999999998"/>
        <n v="15.2"/>
        <n v="12"/>
        <n v="8.9"/>
        <n v="10.199999999999999"/>
        <n v="17.399999999999999"/>
        <n v="22"/>
        <n v="22.6"/>
        <n v="5.5"/>
        <n v="7.7"/>
        <n v="16.899999999999999"/>
        <n v="15.1"/>
        <n v="16.8"/>
        <n v="18.5"/>
        <n v="17.899999999999999"/>
        <n v="13.1"/>
        <n v="18.8"/>
        <n v="18.2"/>
        <n v="14.7"/>
        <n v="9.1999999999999993"/>
        <n v="15.3"/>
        <n v="26"/>
        <n v="28.4"/>
        <n v="21.7"/>
        <n v="9.9"/>
        <n v="1.4"/>
        <n v="11.1"/>
        <n v="25.1"/>
        <n v="13"/>
        <n v="16.399999999999999"/>
        <n v="15.5"/>
        <n v="18.100000000000001"/>
        <n v="22.5"/>
        <n v="15.4"/>
        <n v="19.5"/>
        <n v="20.5"/>
        <n v="29.6"/>
        <n v="18.3"/>
        <n v="16.600000000000001"/>
        <n v="20.9"/>
        <n v="18.7"/>
        <n v="15"/>
        <n v="9.8000000000000007"/>
        <n v="14.9"/>
        <n v="21.9"/>
        <n v="21.5"/>
        <n v="17.7"/>
        <n v="19.100000000000001"/>
        <n v="16"/>
        <n v="12.5"/>
        <n v="23.4"/>
        <n v="17.2"/>
        <n v="13.8"/>
        <n v="11.9"/>
        <n v="11.4"/>
        <n v="22.2"/>
        <n v="32.9"/>
        <n v="15.8"/>
      </sharedItems>
    </cacheField>
    <cacheField name="Trip_Duration_min" numFmtId="0">
      <sharedItems containsSemiMixedTypes="0" containsString="0" containsNumber="1" containsInteger="1" minValue="5" maxValue="93" count="65">
        <n v="13"/>
        <n v="27"/>
        <n v="24"/>
        <n v="45"/>
        <n v="5"/>
        <n v="12"/>
        <n v="14"/>
        <n v="11"/>
        <n v="26"/>
        <n v="88"/>
        <n v="20"/>
        <n v="38"/>
        <n v="22"/>
        <n v="16"/>
        <n v="34"/>
        <n v="28"/>
        <n v="36"/>
        <n v="30"/>
        <n v="57"/>
        <n v="8"/>
        <n v="62"/>
        <n v="9"/>
        <n v="10"/>
        <n v="17"/>
        <n v="7"/>
        <n v="25"/>
        <n v="31"/>
        <n v="52"/>
        <n v="49"/>
        <n v="19"/>
        <n v="18"/>
        <n v="54"/>
        <n v="21"/>
        <n v="41"/>
        <n v="64"/>
        <n v="37"/>
        <n v="23"/>
        <n v="6"/>
        <n v="29"/>
        <n v="43"/>
        <n v="35"/>
        <n v="46"/>
        <n v="42"/>
        <n v="15"/>
        <n v="32"/>
        <n v="47"/>
        <n v="33"/>
        <n v="51"/>
        <n v="39"/>
        <n v="56"/>
        <n v="60"/>
        <n v="44"/>
        <n v="40"/>
        <n v="53"/>
        <n v="50"/>
        <n v="69"/>
        <n v="93"/>
        <n v="55"/>
        <n v="74"/>
        <n v="70"/>
        <n v="79"/>
        <n v="58"/>
        <n v="48"/>
        <n v="63"/>
        <n v="85"/>
      </sharedItems>
    </cacheField>
    <cacheField name="Fare_Amount_INR" numFmtId="0">
      <sharedItems containsSemiMixedTypes="0" containsString="0" containsNumber="1" containsInteger="1" minValue="30" maxValue="1166" count="401">
        <n v="172"/>
        <n v="243"/>
        <n v="247"/>
        <n v="401"/>
        <n v="72"/>
        <n v="111"/>
        <n v="153"/>
        <n v="144"/>
        <n v="214"/>
        <n v="322"/>
        <n v="266"/>
        <n v="599"/>
        <n v="58"/>
        <n v="104"/>
        <n v="147"/>
        <n v="105"/>
        <n v="319"/>
        <n v="224"/>
        <n v="186"/>
        <n v="373"/>
        <n v="336"/>
        <n v="91"/>
        <n v="184"/>
        <n v="192"/>
        <n v="349"/>
        <n v="76"/>
        <n v="353"/>
        <n v="240"/>
        <n v="75"/>
        <n v="198"/>
        <n v="779"/>
        <n v="107"/>
        <n v="235"/>
        <n v="165"/>
        <n v="382"/>
        <n v="156"/>
        <n v="149"/>
        <n v="366"/>
        <n v="416"/>
        <n v="234"/>
        <n v="205"/>
        <n v="171"/>
        <n v="154"/>
        <n v="375"/>
        <n v="118"/>
        <n v="54"/>
        <n v="93"/>
        <n v="158"/>
        <n v="237"/>
        <n v="209"/>
        <n v="352"/>
        <n v="188"/>
        <n v="141"/>
        <n v="179"/>
        <n v="101"/>
        <n v="128"/>
        <n v="127"/>
        <n v="411"/>
        <n v="228"/>
        <n v="161"/>
        <n v="211"/>
        <n v="102"/>
        <n v="120"/>
        <n v="53"/>
        <n v="403"/>
        <n v="136"/>
        <n v="98"/>
        <n v="514"/>
        <n v="135"/>
        <n v="73"/>
        <n v="226"/>
        <n v="412"/>
        <n v="335"/>
        <n v="69"/>
        <n v="129"/>
        <n v="423"/>
        <n v="238"/>
        <n v="446"/>
        <n v="166"/>
        <n v="99"/>
        <n v="232"/>
        <n v="206"/>
        <n v="195"/>
        <n v="140"/>
        <n v="333"/>
        <n v="182"/>
        <n v="88"/>
        <n v="312"/>
        <n v="304"/>
        <n v="110"/>
        <n v="46"/>
        <n v="150"/>
        <n v="90"/>
        <n v="139"/>
        <n v="152"/>
        <n v="74"/>
        <n v="168"/>
        <n v="540"/>
        <n v="303"/>
        <n v="108"/>
        <n v="116"/>
        <n v="89"/>
        <n v="87"/>
        <n v="100"/>
        <n v="284"/>
        <n v="80"/>
        <n v="544"/>
        <n v="178"/>
        <n v="255"/>
        <n v="920"/>
        <n v="239"/>
        <n v="236"/>
        <n v="290"/>
        <n v="212"/>
        <n v="146"/>
        <n v="180"/>
        <n v="267"/>
        <n v="59"/>
        <n v="248"/>
        <n v="474"/>
        <n v="475"/>
        <n v="167"/>
        <n v="121"/>
        <n v="258"/>
        <n v="77"/>
        <n v="525"/>
        <n v="281"/>
        <n v="112"/>
        <n v="159"/>
        <n v="316"/>
        <n v="346"/>
        <n v="275"/>
        <n v="291"/>
        <n v="123"/>
        <n v="143"/>
        <n v="315"/>
        <n v="155"/>
        <n v="84"/>
        <n v="383"/>
        <n v="307"/>
        <n v="748"/>
        <n v="109"/>
        <n v="420"/>
        <n v="263"/>
        <n v="334"/>
        <n v="81"/>
        <n v="96"/>
        <n v="331"/>
        <n v="344"/>
        <n v="132"/>
        <n v="194"/>
        <n v="664"/>
        <n v="251"/>
        <n v="86"/>
        <n v="377"/>
        <n v="175"/>
        <n v="103"/>
        <n v="348"/>
        <n v="55"/>
        <n v="242"/>
        <n v="125"/>
        <n v="177"/>
        <n v="289"/>
        <n v="389"/>
        <n v="119"/>
        <n v="246"/>
        <n v="321"/>
        <n v="187"/>
        <n v="503"/>
        <n v="488"/>
        <n v="61"/>
        <n v="131"/>
        <n v="358"/>
        <n v="278"/>
        <n v="300"/>
        <n v="122"/>
        <n v="170"/>
        <n v="250"/>
        <n v="527"/>
        <n v="183"/>
        <n v="106"/>
        <n v="78"/>
        <n v="447"/>
        <n v="442"/>
        <n v="359"/>
        <n v="541"/>
        <n v="193"/>
        <n v="701"/>
        <n v="502"/>
        <n v="509"/>
        <n v="51"/>
        <n v="233"/>
        <n v="272"/>
        <n v="137"/>
        <n v="606"/>
        <n v="451"/>
        <n v="274"/>
        <n v="160"/>
        <n v="381"/>
        <n v="282"/>
        <n v="220"/>
        <n v="417"/>
        <n v="308"/>
        <n v="62"/>
        <n v="133"/>
        <n v="296"/>
        <n v="399"/>
        <n v="293"/>
        <n v="85"/>
        <n v="71"/>
        <n v="114"/>
        <n v="60"/>
        <n v="219"/>
        <n v="260"/>
        <n v="210"/>
        <n v="391"/>
        <n v="326"/>
        <n v="444"/>
        <n v="494"/>
        <n v="117"/>
        <n v="70"/>
        <n v="522"/>
        <n v="157"/>
        <n v="130"/>
        <n v="196"/>
        <n v="279"/>
        <n v="148"/>
        <n v="94"/>
        <n v="327"/>
        <n v="126"/>
        <n v="288"/>
        <n v="197"/>
        <n v="286"/>
        <n v="207"/>
        <n v="231"/>
        <n v="406"/>
        <n v="365"/>
        <n v="262"/>
        <n v="493"/>
        <n v="113"/>
        <n v="269"/>
        <n v="134"/>
        <n v="306"/>
        <n v="208"/>
        <n v="185"/>
        <n v="264"/>
        <n v="265"/>
        <n v="314"/>
        <n v="49"/>
        <n v="415"/>
        <n v="189"/>
        <n v="270"/>
        <n v="385"/>
        <n v="222"/>
        <n v="722"/>
        <n v="302"/>
        <n v="65"/>
        <n v="456"/>
        <n v="56"/>
        <n v="338"/>
        <n v="92"/>
        <n v="163"/>
        <n v="249"/>
        <n v="79"/>
        <n v="371"/>
        <n v="608"/>
        <n v="345"/>
        <n v="145"/>
        <n v="515"/>
        <n v="478"/>
        <n v="124"/>
        <n v="350"/>
        <n v="271"/>
        <n v="241"/>
        <n v="340"/>
        <n v="199"/>
        <n v="164"/>
        <n v="535"/>
        <n v="244"/>
        <n v="460"/>
        <n v="367"/>
        <n v="339"/>
        <n v="482"/>
        <n v="586"/>
        <n v="372"/>
        <n v="215"/>
        <n v="176"/>
        <n v="438"/>
        <n v="273"/>
        <n v="625"/>
        <n v="225"/>
        <n v="216"/>
        <n v="191"/>
        <n v="223"/>
        <n v="138"/>
        <n v="68"/>
        <n v="202"/>
        <n v="48"/>
        <n v="181"/>
        <n v="700"/>
        <n v="190"/>
        <n v="229"/>
        <n v="409"/>
        <n v="332"/>
        <n v="292"/>
        <n v="201"/>
        <n v="400"/>
        <n v="298"/>
        <n v="63"/>
        <n v="230"/>
        <n v="926"/>
        <n v="173"/>
        <n v="66"/>
        <n v="174"/>
        <n v="31"/>
        <n v="432"/>
        <n v="204"/>
        <n v="324"/>
        <n v="557"/>
        <n v="452"/>
        <n v="405"/>
        <n v="268"/>
        <n v="392"/>
        <n v="162"/>
        <n v="313"/>
        <n v="40"/>
        <n v="505"/>
        <n v="151"/>
        <n v="730"/>
        <n v="97"/>
        <n v="387"/>
        <n v="297"/>
        <n v="203"/>
        <n v="570"/>
        <n v="461"/>
        <n v="213"/>
        <n v="378"/>
        <n v="362"/>
        <n v="320"/>
        <n v="356"/>
        <n v="200"/>
        <n v="295"/>
        <n v="277"/>
        <n v="82"/>
        <n v="287"/>
        <n v="169"/>
        <n v="431"/>
        <n v="221"/>
        <n v="549"/>
        <n v="458"/>
        <n v="602"/>
        <n v="513"/>
        <n v="369"/>
        <n v="253"/>
        <n v="597"/>
        <n v="67"/>
        <n v="217"/>
        <n v="323"/>
        <n v="1026"/>
        <n v="294"/>
        <n v="299"/>
        <n v="463"/>
        <n v="673"/>
        <n v="309"/>
        <n v="484"/>
        <n v="462"/>
        <n v="227"/>
        <n v="44"/>
        <n v="491"/>
        <n v="50"/>
        <n v="418"/>
        <n v="582"/>
        <n v="254"/>
        <n v="537"/>
        <n v="261"/>
        <n v="355"/>
        <n v="35"/>
        <n v="41"/>
        <n v="57"/>
        <n v="472"/>
        <n v="480"/>
        <n v="481"/>
        <n v="433"/>
        <n v="402"/>
        <n v="780"/>
        <n v="528"/>
        <n v="354"/>
        <n v="466"/>
        <n v="538"/>
        <n v="380"/>
        <n v="580"/>
        <n v="43"/>
        <n v="115"/>
        <n v="30"/>
        <n v="425"/>
        <n v="343"/>
        <n v="310"/>
        <n v="285"/>
        <n v="631"/>
        <n v="636"/>
        <n v="1166"/>
      </sharedItems>
    </cacheField>
    <cacheField name="Payment_Method" numFmtId="0">
      <sharedItems count="6">
        <s v="UPI"/>
        <s v="Cash"/>
        <s v="Paytm"/>
        <s v="Card"/>
        <s v="Amazon Pay"/>
        <s v="Google Pay"/>
      </sharedItems>
    </cacheField>
    <cacheField name="Time_Bin" numFmtId="0">
      <sharedItems count="8">
        <s v="21:00-23:59"/>
        <s v="09:00-11:59"/>
        <s v="12:00-14:59"/>
        <s v="03:00-05:59"/>
        <s v="06:00-08:59"/>
        <s v="18:00-20:59"/>
        <s v="15:00-17:59"/>
        <s v="00:00-02:59"/>
      </sharedItems>
    </cacheField>
    <cacheField name="Shift" numFmtId="0">
      <sharedItems count="2">
        <s v="Night"/>
        <s v="Day"/>
      </sharedItems>
    </cacheField>
    <cacheField name="Driver_Rating" numFmtId="0">
      <sharedItems containsSemiMixedTypes="0" containsString="0" containsNumber="1" minValue="4" maxValue="5" count="11">
        <n v="4.9000000000000004"/>
        <n v="4.5"/>
        <n v="4.5999999999999996"/>
        <n v="4.8"/>
        <n v="4.3"/>
        <n v="5"/>
        <n v="4"/>
        <n v="4.7"/>
        <n v="4.4000000000000004"/>
        <n v="4.0999999999999996"/>
        <n v="4.2"/>
      </sharedItems>
    </cacheField>
    <cacheField name="Passenger_Rating" numFmtId="0">
      <sharedItems containsSemiMixedTypes="0" containsString="0" containsNumber="1" minValue="4.0999999999999996" maxValue="5" count="10">
        <n v="4.7"/>
        <n v="4.4000000000000004"/>
        <n v="5"/>
        <n v="4.9000000000000004"/>
        <n v="4.8"/>
        <n v="4.5999999999999996"/>
        <n v="4.5"/>
        <n v="4.3"/>
        <n v="4.2"/>
        <n v="4.0999999999999996"/>
      </sharedItems>
    </cacheField>
    <cacheField name="Date2" numFmtId="0" databaseField="0">
      <fieldGroup base="1">
        <discretePr count="90">
          <x v="1"/>
          <x v="0"/>
          <x v="2"/>
          <x v="1"/>
          <x v="1"/>
          <x v="2"/>
          <x v="0"/>
          <x v="0"/>
          <x v="2"/>
          <x v="0"/>
          <x v="1"/>
          <x v="2"/>
          <x v="1"/>
          <x v="3"/>
          <x v="1"/>
          <x v="2"/>
          <x v="1"/>
          <x v="3"/>
          <x v="2"/>
          <x v="3"/>
          <x v="1"/>
          <x v="0"/>
          <x v="1"/>
          <x v="3"/>
          <x v="1"/>
          <x v="2"/>
          <x v="1"/>
          <x v="0"/>
          <x v="3"/>
          <x v="0"/>
          <x v="0"/>
          <x v="2"/>
          <x v="2"/>
          <x v="1"/>
          <x v="2"/>
          <x v="2"/>
          <x v="0"/>
          <x v="2"/>
          <x v="2"/>
          <x v="1"/>
          <x v="2"/>
          <x v="3"/>
          <x v="2"/>
          <x v="2"/>
          <x v="2"/>
          <x v="0"/>
          <x v="2"/>
          <x v="1"/>
          <x v="0"/>
          <x v="3"/>
          <x v="1"/>
          <x v="2"/>
          <x v="1"/>
          <x v="3"/>
          <x v="1"/>
          <x v="2"/>
          <x v="3"/>
          <x v="3"/>
          <x v="2"/>
          <x v="1"/>
          <x v="1"/>
          <x v="0"/>
          <x v="2"/>
          <x v="1"/>
          <x v="1"/>
          <x v="1"/>
          <x v="2"/>
          <x v="1"/>
          <x v="1"/>
          <x v="2"/>
          <x v="0"/>
          <x v="1"/>
          <x v="3"/>
          <x v="2"/>
          <x v="2"/>
          <x v="3"/>
          <x v="3"/>
          <x v="2"/>
          <x v="0"/>
          <x v="3"/>
          <x v="2"/>
          <x v="3"/>
          <x v="2"/>
          <x v="1"/>
          <x v="1"/>
          <x v="1"/>
          <x v="2"/>
          <x v="1"/>
          <x v="2"/>
          <x v="1"/>
        </discretePr>
        <groupItems count="4">
          <s v="Group1"/>
          <s v="Group2"/>
          <s v="Group3"/>
          <s v="Group4"/>
        </groupItems>
      </fieldGroup>
    </cacheField>
  </cacheFields>
  <extLst>
    <ext xmlns:x14="http://schemas.microsoft.com/office/spreadsheetml/2009/9/main" uri="{725AE2AE-9491-48be-B2B4-4EB974FC3084}">
      <x14:pivotCacheDefinition pivotCacheId="962608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x v="0"/>
    <x v="0"/>
    <x v="0"/>
    <x v="0"/>
    <x v="0"/>
    <x v="0"/>
  </r>
  <r>
    <x v="1"/>
    <x v="1"/>
    <x v="1"/>
    <x v="1"/>
    <x v="1"/>
    <x v="1"/>
    <x v="1"/>
    <x v="1"/>
    <x v="1"/>
    <x v="1"/>
    <x v="1"/>
    <x v="1"/>
    <x v="1"/>
    <x v="1"/>
    <x v="1"/>
  </r>
  <r>
    <x v="2"/>
    <x v="2"/>
    <x v="2"/>
    <x v="1"/>
    <x v="2"/>
    <x v="2"/>
    <x v="2"/>
    <x v="2"/>
    <x v="2"/>
    <x v="2"/>
    <x v="0"/>
    <x v="2"/>
    <x v="1"/>
    <x v="2"/>
    <x v="0"/>
  </r>
  <r>
    <x v="3"/>
    <x v="3"/>
    <x v="3"/>
    <x v="2"/>
    <x v="3"/>
    <x v="3"/>
    <x v="3"/>
    <x v="3"/>
    <x v="3"/>
    <x v="3"/>
    <x v="2"/>
    <x v="3"/>
    <x v="0"/>
    <x v="3"/>
    <x v="2"/>
  </r>
  <r>
    <x v="4"/>
    <x v="4"/>
    <x v="4"/>
    <x v="3"/>
    <x v="4"/>
    <x v="4"/>
    <x v="4"/>
    <x v="4"/>
    <x v="4"/>
    <x v="4"/>
    <x v="0"/>
    <x v="4"/>
    <x v="1"/>
    <x v="4"/>
    <x v="3"/>
  </r>
  <r>
    <x v="5"/>
    <x v="5"/>
    <x v="5"/>
    <x v="4"/>
    <x v="5"/>
    <x v="5"/>
    <x v="4"/>
    <x v="5"/>
    <x v="5"/>
    <x v="5"/>
    <x v="0"/>
    <x v="5"/>
    <x v="1"/>
    <x v="2"/>
    <x v="0"/>
  </r>
  <r>
    <x v="6"/>
    <x v="6"/>
    <x v="6"/>
    <x v="5"/>
    <x v="6"/>
    <x v="6"/>
    <x v="1"/>
    <x v="6"/>
    <x v="6"/>
    <x v="6"/>
    <x v="1"/>
    <x v="6"/>
    <x v="1"/>
    <x v="5"/>
    <x v="3"/>
  </r>
  <r>
    <x v="7"/>
    <x v="2"/>
    <x v="7"/>
    <x v="6"/>
    <x v="7"/>
    <x v="7"/>
    <x v="1"/>
    <x v="7"/>
    <x v="5"/>
    <x v="7"/>
    <x v="0"/>
    <x v="5"/>
    <x v="1"/>
    <x v="0"/>
    <x v="4"/>
  </r>
  <r>
    <x v="8"/>
    <x v="3"/>
    <x v="8"/>
    <x v="2"/>
    <x v="8"/>
    <x v="3"/>
    <x v="1"/>
    <x v="8"/>
    <x v="7"/>
    <x v="8"/>
    <x v="2"/>
    <x v="5"/>
    <x v="1"/>
    <x v="3"/>
    <x v="0"/>
  </r>
  <r>
    <x v="9"/>
    <x v="7"/>
    <x v="9"/>
    <x v="6"/>
    <x v="9"/>
    <x v="8"/>
    <x v="3"/>
    <x v="9"/>
    <x v="8"/>
    <x v="9"/>
    <x v="0"/>
    <x v="5"/>
    <x v="1"/>
    <x v="6"/>
    <x v="3"/>
  </r>
  <r>
    <x v="10"/>
    <x v="8"/>
    <x v="10"/>
    <x v="3"/>
    <x v="10"/>
    <x v="9"/>
    <x v="3"/>
    <x v="10"/>
    <x v="5"/>
    <x v="10"/>
    <x v="0"/>
    <x v="1"/>
    <x v="1"/>
    <x v="7"/>
    <x v="4"/>
  </r>
  <r>
    <x v="11"/>
    <x v="9"/>
    <x v="11"/>
    <x v="0"/>
    <x v="11"/>
    <x v="10"/>
    <x v="1"/>
    <x v="11"/>
    <x v="9"/>
    <x v="11"/>
    <x v="3"/>
    <x v="5"/>
    <x v="1"/>
    <x v="1"/>
    <x v="2"/>
  </r>
  <r>
    <x v="12"/>
    <x v="10"/>
    <x v="12"/>
    <x v="7"/>
    <x v="12"/>
    <x v="11"/>
    <x v="4"/>
    <x v="12"/>
    <x v="0"/>
    <x v="12"/>
    <x v="1"/>
    <x v="2"/>
    <x v="1"/>
    <x v="7"/>
    <x v="5"/>
  </r>
  <r>
    <x v="13"/>
    <x v="11"/>
    <x v="13"/>
    <x v="0"/>
    <x v="13"/>
    <x v="0"/>
    <x v="4"/>
    <x v="13"/>
    <x v="1"/>
    <x v="13"/>
    <x v="0"/>
    <x v="0"/>
    <x v="0"/>
    <x v="5"/>
    <x v="2"/>
  </r>
  <r>
    <x v="14"/>
    <x v="12"/>
    <x v="14"/>
    <x v="3"/>
    <x v="14"/>
    <x v="12"/>
    <x v="3"/>
    <x v="14"/>
    <x v="7"/>
    <x v="14"/>
    <x v="0"/>
    <x v="5"/>
    <x v="1"/>
    <x v="3"/>
    <x v="0"/>
  </r>
  <r>
    <x v="15"/>
    <x v="13"/>
    <x v="15"/>
    <x v="4"/>
    <x v="15"/>
    <x v="13"/>
    <x v="4"/>
    <x v="15"/>
    <x v="10"/>
    <x v="15"/>
    <x v="0"/>
    <x v="6"/>
    <x v="1"/>
    <x v="0"/>
    <x v="5"/>
  </r>
  <r>
    <x v="16"/>
    <x v="14"/>
    <x v="16"/>
    <x v="0"/>
    <x v="11"/>
    <x v="0"/>
    <x v="2"/>
    <x v="16"/>
    <x v="11"/>
    <x v="16"/>
    <x v="2"/>
    <x v="5"/>
    <x v="1"/>
    <x v="1"/>
    <x v="4"/>
  </r>
  <r>
    <x v="17"/>
    <x v="0"/>
    <x v="17"/>
    <x v="7"/>
    <x v="16"/>
    <x v="11"/>
    <x v="1"/>
    <x v="17"/>
    <x v="12"/>
    <x v="17"/>
    <x v="0"/>
    <x v="5"/>
    <x v="1"/>
    <x v="7"/>
    <x v="4"/>
  </r>
  <r>
    <x v="18"/>
    <x v="15"/>
    <x v="18"/>
    <x v="4"/>
    <x v="17"/>
    <x v="5"/>
    <x v="3"/>
    <x v="18"/>
    <x v="13"/>
    <x v="18"/>
    <x v="0"/>
    <x v="0"/>
    <x v="0"/>
    <x v="4"/>
    <x v="0"/>
  </r>
  <r>
    <x v="19"/>
    <x v="16"/>
    <x v="19"/>
    <x v="6"/>
    <x v="18"/>
    <x v="7"/>
    <x v="0"/>
    <x v="19"/>
    <x v="14"/>
    <x v="19"/>
    <x v="1"/>
    <x v="0"/>
    <x v="0"/>
    <x v="0"/>
    <x v="2"/>
  </r>
  <r>
    <x v="20"/>
    <x v="17"/>
    <x v="20"/>
    <x v="0"/>
    <x v="0"/>
    <x v="14"/>
    <x v="0"/>
    <x v="20"/>
    <x v="15"/>
    <x v="20"/>
    <x v="2"/>
    <x v="1"/>
    <x v="1"/>
    <x v="5"/>
    <x v="2"/>
  </r>
  <r>
    <x v="21"/>
    <x v="18"/>
    <x v="21"/>
    <x v="0"/>
    <x v="19"/>
    <x v="15"/>
    <x v="4"/>
    <x v="21"/>
    <x v="16"/>
    <x v="21"/>
    <x v="0"/>
    <x v="1"/>
    <x v="1"/>
    <x v="2"/>
    <x v="4"/>
  </r>
  <r>
    <x v="22"/>
    <x v="19"/>
    <x v="22"/>
    <x v="5"/>
    <x v="6"/>
    <x v="16"/>
    <x v="4"/>
    <x v="19"/>
    <x v="17"/>
    <x v="22"/>
    <x v="1"/>
    <x v="1"/>
    <x v="1"/>
    <x v="1"/>
    <x v="2"/>
  </r>
  <r>
    <x v="23"/>
    <x v="20"/>
    <x v="23"/>
    <x v="4"/>
    <x v="20"/>
    <x v="17"/>
    <x v="1"/>
    <x v="22"/>
    <x v="12"/>
    <x v="23"/>
    <x v="0"/>
    <x v="2"/>
    <x v="1"/>
    <x v="1"/>
    <x v="2"/>
  </r>
  <r>
    <x v="24"/>
    <x v="21"/>
    <x v="24"/>
    <x v="1"/>
    <x v="21"/>
    <x v="18"/>
    <x v="1"/>
    <x v="23"/>
    <x v="16"/>
    <x v="24"/>
    <x v="0"/>
    <x v="1"/>
    <x v="1"/>
    <x v="5"/>
    <x v="6"/>
  </r>
  <r>
    <x v="25"/>
    <x v="16"/>
    <x v="25"/>
    <x v="8"/>
    <x v="22"/>
    <x v="19"/>
    <x v="4"/>
    <x v="12"/>
    <x v="0"/>
    <x v="25"/>
    <x v="3"/>
    <x v="7"/>
    <x v="0"/>
    <x v="7"/>
    <x v="5"/>
  </r>
  <r>
    <x v="26"/>
    <x v="22"/>
    <x v="26"/>
    <x v="1"/>
    <x v="1"/>
    <x v="2"/>
    <x v="1"/>
    <x v="24"/>
    <x v="18"/>
    <x v="26"/>
    <x v="0"/>
    <x v="2"/>
    <x v="1"/>
    <x v="7"/>
    <x v="5"/>
  </r>
  <r>
    <x v="27"/>
    <x v="23"/>
    <x v="27"/>
    <x v="7"/>
    <x v="12"/>
    <x v="20"/>
    <x v="2"/>
    <x v="25"/>
    <x v="8"/>
    <x v="27"/>
    <x v="0"/>
    <x v="7"/>
    <x v="0"/>
    <x v="0"/>
    <x v="4"/>
  </r>
  <r>
    <x v="28"/>
    <x v="24"/>
    <x v="28"/>
    <x v="4"/>
    <x v="23"/>
    <x v="21"/>
    <x v="4"/>
    <x v="12"/>
    <x v="19"/>
    <x v="28"/>
    <x v="3"/>
    <x v="5"/>
    <x v="1"/>
    <x v="0"/>
    <x v="3"/>
  </r>
  <r>
    <x v="29"/>
    <x v="25"/>
    <x v="29"/>
    <x v="5"/>
    <x v="6"/>
    <x v="16"/>
    <x v="0"/>
    <x v="26"/>
    <x v="13"/>
    <x v="29"/>
    <x v="1"/>
    <x v="6"/>
    <x v="1"/>
    <x v="4"/>
    <x v="5"/>
  </r>
  <r>
    <x v="30"/>
    <x v="26"/>
    <x v="30"/>
    <x v="0"/>
    <x v="13"/>
    <x v="22"/>
    <x v="5"/>
    <x v="27"/>
    <x v="20"/>
    <x v="30"/>
    <x v="0"/>
    <x v="0"/>
    <x v="0"/>
    <x v="7"/>
    <x v="3"/>
  </r>
  <r>
    <x v="31"/>
    <x v="27"/>
    <x v="31"/>
    <x v="3"/>
    <x v="24"/>
    <x v="23"/>
    <x v="4"/>
    <x v="28"/>
    <x v="21"/>
    <x v="31"/>
    <x v="0"/>
    <x v="5"/>
    <x v="1"/>
    <x v="4"/>
    <x v="0"/>
  </r>
  <r>
    <x v="32"/>
    <x v="28"/>
    <x v="32"/>
    <x v="7"/>
    <x v="16"/>
    <x v="24"/>
    <x v="0"/>
    <x v="26"/>
    <x v="22"/>
    <x v="32"/>
    <x v="3"/>
    <x v="5"/>
    <x v="1"/>
    <x v="2"/>
    <x v="3"/>
  </r>
  <r>
    <x v="33"/>
    <x v="29"/>
    <x v="33"/>
    <x v="3"/>
    <x v="25"/>
    <x v="12"/>
    <x v="0"/>
    <x v="29"/>
    <x v="21"/>
    <x v="33"/>
    <x v="4"/>
    <x v="4"/>
    <x v="1"/>
    <x v="5"/>
    <x v="0"/>
  </r>
  <r>
    <x v="34"/>
    <x v="18"/>
    <x v="34"/>
    <x v="4"/>
    <x v="5"/>
    <x v="25"/>
    <x v="1"/>
    <x v="30"/>
    <x v="11"/>
    <x v="34"/>
    <x v="3"/>
    <x v="5"/>
    <x v="1"/>
    <x v="5"/>
    <x v="2"/>
  </r>
  <r>
    <x v="35"/>
    <x v="30"/>
    <x v="35"/>
    <x v="4"/>
    <x v="26"/>
    <x v="26"/>
    <x v="1"/>
    <x v="15"/>
    <x v="23"/>
    <x v="35"/>
    <x v="4"/>
    <x v="1"/>
    <x v="1"/>
    <x v="7"/>
    <x v="4"/>
  </r>
  <r>
    <x v="36"/>
    <x v="31"/>
    <x v="6"/>
    <x v="6"/>
    <x v="27"/>
    <x v="7"/>
    <x v="0"/>
    <x v="31"/>
    <x v="6"/>
    <x v="36"/>
    <x v="3"/>
    <x v="6"/>
    <x v="1"/>
    <x v="7"/>
    <x v="2"/>
  </r>
  <r>
    <x v="37"/>
    <x v="23"/>
    <x v="36"/>
    <x v="0"/>
    <x v="11"/>
    <x v="10"/>
    <x v="1"/>
    <x v="32"/>
    <x v="15"/>
    <x v="37"/>
    <x v="3"/>
    <x v="4"/>
    <x v="1"/>
    <x v="5"/>
    <x v="2"/>
  </r>
  <r>
    <x v="38"/>
    <x v="32"/>
    <x v="37"/>
    <x v="1"/>
    <x v="2"/>
    <x v="27"/>
    <x v="5"/>
    <x v="33"/>
    <x v="24"/>
    <x v="38"/>
    <x v="1"/>
    <x v="5"/>
    <x v="1"/>
    <x v="7"/>
    <x v="0"/>
  </r>
  <r>
    <x v="39"/>
    <x v="33"/>
    <x v="38"/>
    <x v="4"/>
    <x v="28"/>
    <x v="13"/>
    <x v="2"/>
    <x v="17"/>
    <x v="23"/>
    <x v="39"/>
    <x v="1"/>
    <x v="4"/>
    <x v="1"/>
    <x v="2"/>
    <x v="4"/>
  </r>
  <r>
    <x v="40"/>
    <x v="1"/>
    <x v="39"/>
    <x v="4"/>
    <x v="23"/>
    <x v="26"/>
    <x v="1"/>
    <x v="34"/>
    <x v="10"/>
    <x v="40"/>
    <x v="0"/>
    <x v="5"/>
    <x v="1"/>
    <x v="5"/>
    <x v="2"/>
  </r>
  <r>
    <x v="41"/>
    <x v="17"/>
    <x v="40"/>
    <x v="3"/>
    <x v="29"/>
    <x v="28"/>
    <x v="1"/>
    <x v="2"/>
    <x v="2"/>
    <x v="41"/>
    <x v="1"/>
    <x v="6"/>
    <x v="1"/>
    <x v="0"/>
    <x v="3"/>
  </r>
  <r>
    <x v="42"/>
    <x v="15"/>
    <x v="41"/>
    <x v="1"/>
    <x v="1"/>
    <x v="1"/>
    <x v="4"/>
    <x v="35"/>
    <x v="25"/>
    <x v="42"/>
    <x v="1"/>
    <x v="4"/>
    <x v="1"/>
    <x v="3"/>
    <x v="1"/>
  </r>
  <r>
    <x v="43"/>
    <x v="34"/>
    <x v="42"/>
    <x v="2"/>
    <x v="30"/>
    <x v="29"/>
    <x v="5"/>
    <x v="36"/>
    <x v="10"/>
    <x v="43"/>
    <x v="0"/>
    <x v="6"/>
    <x v="1"/>
    <x v="7"/>
    <x v="6"/>
  </r>
  <r>
    <x v="44"/>
    <x v="20"/>
    <x v="43"/>
    <x v="3"/>
    <x v="4"/>
    <x v="4"/>
    <x v="4"/>
    <x v="37"/>
    <x v="6"/>
    <x v="44"/>
    <x v="0"/>
    <x v="4"/>
    <x v="1"/>
    <x v="5"/>
    <x v="0"/>
  </r>
  <r>
    <x v="45"/>
    <x v="35"/>
    <x v="44"/>
    <x v="1"/>
    <x v="21"/>
    <x v="1"/>
    <x v="4"/>
    <x v="38"/>
    <x v="24"/>
    <x v="45"/>
    <x v="0"/>
    <x v="3"/>
    <x v="0"/>
    <x v="8"/>
    <x v="2"/>
  </r>
  <r>
    <x v="46"/>
    <x v="36"/>
    <x v="45"/>
    <x v="5"/>
    <x v="6"/>
    <x v="30"/>
    <x v="4"/>
    <x v="39"/>
    <x v="7"/>
    <x v="46"/>
    <x v="0"/>
    <x v="6"/>
    <x v="1"/>
    <x v="1"/>
    <x v="3"/>
  </r>
  <r>
    <x v="47"/>
    <x v="37"/>
    <x v="46"/>
    <x v="0"/>
    <x v="0"/>
    <x v="0"/>
    <x v="2"/>
    <x v="40"/>
    <x v="19"/>
    <x v="47"/>
    <x v="0"/>
    <x v="2"/>
    <x v="1"/>
    <x v="3"/>
    <x v="2"/>
  </r>
  <r>
    <x v="48"/>
    <x v="31"/>
    <x v="47"/>
    <x v="2"/>
    <x v="31"/>
    <x v="31"/>
    <x v="1"/>
    <x v="41"/>
    <x v="26"/>
    <x v="48"/>
    <x v="3"/>
    <x v="2"/>
    <x v="1"/>
    <x v="3"/>
    <x v="2"/>
  </r>
  <r>
    <x v="49"/>
    <x v="13"/>
    <x v="48"/>
    <x v="5"/>
    <x v="32"/>
    <x v="30"/>
    <x v="4"/>
    <x v="42"/>
    <x v="27"/>
    <x v="49"/>
    <x v="0"/>
    <x v="2"/>
    <x v="1"/>
    <x v="8"/>
    <x v="2"/>
  </r>
  <r>
    <x v="50"/>
    <x v="34"/>
    <x v="49"/>
    <x v="4"/>
    <x v="23"/>
    <x v="21"/>
    <x v="1"/>
    <x v="43"/>
    <x v="28"/>
    <x v="50"/>
    <x v="2"/>
    <x v="6"/>
    <x v="1"/>
    <x v="1"/>
    <x v="0"/>
  </r>
  <r>
    <x v="51"/>
    <x v="38"/>
    <x v="50"/>
    <x v="3"/>
    <x v="25"/>
    <x v="32"/>
    <x v="1"/>
    <x v="44"/>
    <x v="29"/>
    <x v="51"/>
    <x v="3"/>
    <x v="2"/>
    <x v="1"/>
    <x v="1"/>
    <x v="4"/>
  </r>
  <r>
    <x v="52"/>
    <x v="39"/>
    <x v="51"/>
    <x v="0"/>
    <x v="19"/>
    <x v="33"/>
    <x v="4"/>
    <x v="2"/>
    <x v="30"/>
    <x v="52"/>
    <x v="3"/>
    <x v="5"/>
    <x v="1"/>
    <x v="4"/>
    <x v="2"/>
  </r>
  <r>
    <x v="53"/>
    <x v="40"/>
    <x v="52"/>
    <x v="1"/>
    <x v="33"/>
    <x v="27"/>
    <x v="1"/>
    <x v="45"/>
    <x v="10"/>
    <x v="53"/>
    <x v="1"/>
    <x v="2"/>
    <x v="1"/>
    <x v="2"/>
    <x v="2"/>
  </r>
  <r>
    <x v="54"/>
    <x v="26"/>
    <x v="53"/>
    <x v="6"/>
    <x v="27"/>
    <x v="34"/>
    <x v="1"/>
    <x v="0"/>
    <x v="21"/>
    <x v="54"/>
    <x v="1"/>
    <x v="2"/>
    <x v="1"/>
    <x v="3"/>
    <x v="2"/>
  </r>
  <r>
    <x v="55"/>
    <x v="41"/>
    <x v="54"/>
    <x v="3"/>
    <x v="14"/>
    <x v="23"/>
    <x v="4"/>
    <x v="28"/>
    <x v="19"/>
    <x v="31"/>
    <x v="0"/>
    <x v="5"/>
    <x v="1"/>
    <x v="2"/>
    <x v="2"/>
  </r>
  <r>
    <x v="56"/>
    <x v="26"/>
    <x v="55"/>
    <x v="0"/>
    <x v="19"/>
    <x v="14"/>
    <x v="1"/>
    <x v="46"/>
    <x v="30"/>
    <x v="55"/>
    <x v="3"/>
    <x v="2"/>
    <x v="1"/>
    <x v="0"/>
    <x v="4"/>
  </r>
  <r>
    <x v="57"/>
    <x v="28"/>
    <x v="56"/>
    <x v="3"/>
    <x v="10"/>
    <x v="35"/>
    <x v="2"/>
    <x v="28"/>
    <x v="24"/>
    <x v="36"/>
    <x v="0"/>
    <x v="0"/>
    <x v="0"/>
    <x v="3"/>
    <x v="0"/>
  </r>
  <r>
    <x v="58"/>
    <x v="21"/>
    <x v="57"/>
    <x v="8"/>
    <x v="34"/>
    <x v="36"/>
    <x v="2"/>
    <x v="47"/>
    <x v="6"/>
    <x v="56"/>
    <x v="0"/>
    <x v="3"/>
    <x v="0"/>
    <x v="5"/>
    <x v="0"/>
  </r>
  <r>
    <x v="59"/>
    <x v="42"/>
    <x v="58"/>
    <x v="1"/>
    <x v="33"/>
    <x v="37"/>
    <x v="0"/>
    <x v="48"/>
    <x v="31"/>
    <x v="57"/>
    <x v="0"/>
    <x v="6"/>
    <x v="1"/>
    <x v="5"/>
    <x v="3"/>
  </r>
  <r>
    <x v="60"/>
    <x v="37"/>
    <x v="59"/>
    <x v="6"/>
    <x v="35"/>
    <x v="7"/>
    <x v="2"/>
    <x v="49"/>
    <x v="13"/>
    <x v="58"/>
    <x v="0"/>
    <x v="2"/>
    <x v="1"/>
    <x v="3"/>
    <x v="3"/>
  </r>
  <r>
    <x v="61"/>
    <x v="43"/>
    <x v="60"/>
    <x v="6"/>
    <x v="7"/>
    <x v="7"/>
    <x v="1"/>
    <x v="50"/>
    <x v="32"/>
    <x v="59"/>
    <x v="0"/>
    <x v="6"/>
    <x v="1"/>
    <x v="5"/>
    <x v="6"/>
  </r>
  <r>
    <x v="62"/>
    <x v="44"/>
    <x v="61"/>
    <x v="0"/>
    <x v="36"/>
    <x v="15"/>
    <x v="4"/>
    <x v="51"/>
    <x v="33"/>
    <x v="60"/>
    <x v="3"/>
    <x v="5"/>
    <x v="1"/>
    <x v="5"/>
    <x v="5"/>
  </r>
  <r>
    <x v="63"/>
    <x v="45"/>
    <x v="62"/>
    <x v="1"/>
    <x v="37"/>
    <x v="1"/>
    <x v="4"/>
    <x v="33"/>
    <x v="24"/>
    <x v="61"/>
    <x v="0"/>
    <x v="2"/>
    <x v="1"/>
    <x v="5"/>
    <x v="0"/>
  </r>
  <r>
    <x v="64"/>
    <x v="2"/>
    <x v="63"/>
    <x v="4"/>
    <x v="5"/>
    <x v="38"/>
    <x v="2"/>
    <x v="0"/>
    <x v="19"/>
    <x v="62"/>
    <x v="0"/>
    <x v="2"/>
    <x v="1"/>
    <x v="5"/>
    <x v="5"/>
  </r>
  <r>
    <x v="65"/>
    <x v="27"/>
    <x v="64"/>
    <x v="8"/>
    <x v="38"/>
    <x v="39"/>
    <x v="1"/>
    <x v="52"/>
    <x v="4"/>
    <x v="63"/>
    <x v="0"/>
    <x v="2"/>
    <x v="1"/>
    <x v="1"/>
    <x v="5"/>
  </r>
  <r>
    <x v="66"/>
    <x v="46"/>
    <x v="65"/>
    <x v="1"/>
    <x v="2"/>
    <x v="37"/>
    <x v="2"/>
    <x v="53"/>
    <x v="34"/>
    <x v="64"/>
    <x v="0"/>
    <x v="6"/>
    <x v="1"/>
    <x v="7"/>
    <x v="4"/>
  </r>
  <r>
    <x v="67"/>
    <x v="1"/>
    <x v="66"/>
    <x v="7"/>
    <x v="39"/>
    <x v="40"/>
    <x v="4"/>
    <x v="54"/>
    <x v="5"/>
    <x v="65"/>
    <x v="0"/>
    <x v="1"/>
    <x v="1"/>
    <x v="0"/>
    <x v="3"/>
  </r>
  <r>
    <x v="68"/>
    <x v="31"/>
    <x v="67"/>
    <x v="3"/>
    <x v="40"/>
    <x v="32"/>
    <x v="4"/>
    <x v="28"/>
    <x v="0"/>
    <x v="66"/>
    <x v="0"/>
    <x v="4"/>
    <x v="1"/>
    <x v="8"/>
    <x v="5"/>
  </r>
  <r>
    <x v="69"/>
    <x v="47"/>
    <x v="68"/>
    <x v="6"/>
    <x v="7"/>
    <x v="41"/>
    <x v="2"/>
    <x v="55"/>
    <x v="17"/>
    <x v="67"/>
    <x v="2"/>
    <x v="1"/>
    <x v="1"/>
    <x v="3"/>
    <x v="4"/>
  </r>
  <r>
    <x v="70"/>
    <x v="48"/>
    <x v="69"/>
    <x v="5"/>
    <x v="41"/>
    <x v="30"/>
    <x v="4"/>
    <x v="16"/>
    <x v="29"/>
    <x v="68"/>
    <x v="0"/>
    <x v="2"/>
    <x v="1"/>
    <x v="8"/>
    <x v="4"/>
  </r>
  <r>
    <x v="71"/>
    <x v="49"/>
    <x v="70"/>
    <x v="3"/>
    <x v="10"/>
    <x v="23"/>
    <x v="4"/>
    <x v="52"/>
    <x v="24"/>
    <x v="69"/>
    <x v="0"/>
    <x v="5"/>
    <x v="1"/>
    <x v="0"/>
    <x v="2"/>
  </r>
  <r>
    <x v="72"/>
    <x v="50"/>
    <x v="71"/>
    <x v="4"/>
    <x v="42"/>
    <x v="5"/>
    <x v="1"/>
    <x v="56"/>
    <x v="35"/>
    <x v="70"/>
    <x v="0"/>
    <x v="2"/>
    <x v="1"/>
    <x v="4"/>
    <x v="3"/>
  </r>
  <r>
    <x v="73"/>
    <x v="51"/>
    <x v="72"/>
    <x v="0"/>
    <x v="13"/>
    <x v="42"/>
    <x v="0"/>
    <x v="57"/>
    <x v="36"/>
    <x v="71"/>
    <x v="3"/>
    <x v="1"/>
    <x v="1"/>
    <x v="0"/>
    <x v="0"/>
  </r>
  <r>
    <x v="74"/>
    <x v="52"/>
    <x v="73"/>
    <x v="6"/>
    <x v="43"/>
    <x v="8"/>
    <x v="0"/>
    <x v="2"/>
    <x v="12"/>
    <x v="72"/>
    <x v="1"/>
    <x v="1"/>
    <x v="1"/>
    <x v="4"/>
    <x v="0"/>
  </r>
  <r>
    <x v="75"/>
    <x v="33"/>
    <x v="74"/>
    <x v="5"/>
    <x v="44"/>
    <x v="43"/>
    <x v="1"/>
    <x v="58"/>
    <x v="22"/>
    <x v="73"/>
    <x v="1"/>
    <x v="6"/>
    <x v="1"/>
    <x v="0"/>
    <x v="4"/>
  </r>
  <r>
    <x v="76"/>
    <x v="2"/>
    <x v="75"/>
    <x v="8"/>
    <x v="38"/>
    <x v="44"/>
    <x v="2"/>
    <x v="38"/>
    <x v="37"/>
    <x v="74"/>
    <x v="0"/>
    <x v="5"/>
    <x v="1"/>
    <x v="0"/>
    <x v="4"/>
  </r>
  <r>
    <x v="77"/>
    <x v="12"/>
    <x v="76"/>
    <x v="8"/>
    <x v="38"/>
    <x v="45"/>
    <x v="3"/>
    <x v="59"/>
    <x v="35"/>
    <x v="75"/>
    <x v="0"/>
    <x v="1"/>
    <x v="1"/>
    <x v="2"/>
    <x v="0"/>
  </r>
  <r>
    <x v="78"/>
    <x v="25"/>
    <x v="77"/>
    <x v="8"/>
    <x v="34"/>
    <x v="36"/>
    <x v="0"/>
    <x v="60"/>
    <x v="12"/>
    <x v="76"/>
    <x v="3"/>
    <x v="1"/>
    <x v="1"/>
    <x v="0"/>
    <x v="3"/>
  </r>
  <r>
    <x v="79"/>
    <x v="22"/>
    <x v="78"/>
    <x v="1"/>
    <x v="21"/>
    <x v="46"/>
    <x v="5"/>
    <x v="61"/>
    <x v="1"/>
    <x v="77"/>
    <x v="1"/>
    <x v="7"/>
    <x v="0"/>
    <x v="5"/>
    <x v="2"/>
  </r>
  <r>
    <x v="80"/>
    <x v="51"/>
    <x v="79"/>
    <x v="4"/>
    <x v="42"/>
    <x v="26"/>
    <x v="1"/>
    <x v="62"/>
    <x v="22"/>
    <x v="78"/>
    <x v="0"/>
    <x v="5"/>
    <x v="1"/>
    <x v="8"/>
    <x v="5"/>
  </r>
  <r>
    <x v="81"/>
    <x v="42"/>
    <x v="80"/>
    <x v="3"/>
    <x v="45"/>
    <x v="23"/>
    <x v="3"/>
    <x v="52"/>
    <x v="4"/>
    <x v="79"/>
    <x v="3"/>
    <x v="7"/>
    <x v="0"/>
    <x v="2"/>
    <x v="4"/>
  </r>
  <r>
    <x v="82"/>
    <x v="53"/>
    <x v="81"/>
    <x v="1"/>
    <x v="46"/>
    <x v="37"/>
    <x v="1"/>
    <x v="35"/>
    <x v="17"/>
    <x v="80"/>
    <x v="0"/>
    <x v="0"/>
    <x v="0"/>
    <x v="2"/>
    <x v="0"/>
  </r>
  <r>
    <x v="83"/>
    <x v="10"/>
    <x v="82"/>
    <x v="8"/>
    <x v="34"/>
    <x v="47"/>
    <x v="4"/>
    <x v="63"/>
    <x v="4"/>
    <x v="25"/>
    <x v="3"/>
    <x v="1"/>
    <x v="1"/>
    <x v="0"/>
    <x v="4"/>
  </r>
  <r>
    <x v="84"/>
    <x v="53"/>
    <x v="83"/>
    <x v="6"/>
    <x v="18"/>
    <x v="48"/>
    <x v="5"/>
    <x v="64"/>
    <x v="19"/>
    <x v="81"/>
    <x v="0"/>
    <x v="4"/>
    <x v="1"/>
    <x v="1"/>
    <x v="4"/>
  </r>
  <r>
    <x v="85"/>
    <x v="13"/>
    <x v="84"/>
    <x v="0"/>
    <x v="0"/>
    <x v="49"/>
    <x v="0"/>
    <x v="47"/>
    <x v="5"/>
    <x v="0"/>
    <x v="1"/>
    <x v="1"/>
    <x v="1"/>
    <x v="5"/>
    <x v="2"/>
  </r>
  <r>
    <x v="86"/>
    <x v="54"/>
    <x v="85"/>
    <x v="0"/>
    <x v="47"/>
    <x v="22"/>
    <x v="2"/>
    <x v="39"/>
    <x v="13"/>
    <x v="82"/>
    <x v="1"/>
    <x v="6"/>
    <x v="1"/>
    <x v="3"/>
    <x v="3"/>
  </r>
  <r>
    <x v="87"/>
    <x v="33"/>
    <x v="86"/>
    <x v="8"/>
    <x v="22"/>
    <x v="45"/>
    <x v="2"/>
    <x v="7"/>
    <x v="0"/>
    <x v="83"/>
    <x v="0"/>
    <x v="6"/>
    <x v="1"/>
    <x v="7"/>
    <x v="2"/>
  </r>
  <r>
    <x v="88"/>
    <x v="23"/>
    <x v="87"/>
    <x v="5"/>
    <x v="32"/>
    <x v="16"/>
    <x v="1"/>
    <x v="65"/>
    <x v="0"/>
    <x v="36"/>
    <x v="3"/>
    <x v="5"/>
    <x v="1"/>
    <x v="0"/>
    <x v="6"/>
  </r>
  <r>
    <x v="89"/>
    <x v="48"/>
    <x v="88"/>
    <x v="8"/>
    <x v="38"/>
    <x v="44"/>
    <x v="0"/>
    <x v="1"/>
    <x v="2"/>
    <x v="84"/>
    <x v="0"/>
    <x v="4"/>
    <x v="1"/>
    <x v="7"/>
    <x v="2"/>
  </r>
  <r>
    <x v="90"/>
    <x v="55"/>
    <x v="89"/>
    <x v="6"/>
    <x v="48"/>
    <x v="41"/>
    <x v="2"/>
    <x v="12"/>
    <x v="37"/>
    <x v="85"/>
    <x v="1"/>
    <x v="1"/>
    <x v="1"/>
    <x v="7"/>
    <x v="1"/>
  </r>
  <r>
    <x v="91"/>
    <x v="3"/>
    <x v="90"/>
    <x v="7"/>
    <x v="16"/>
    <x v="50"/>
    <x v="1"/>
    <x v="66"/>
    <x v="37"/>
    <x v="86"/>
    <x v="4"/>
    <x v="2"/>
    <x v="1"/>
    <x v="2"/>
    <x v="6"/>
  </r>
  <r>
    <x v="92"/>
    <x v="8"/>
    <x v="91"/>
    <x v="1"/>
    <x v="49"/>
    <x v="1"/>
    <x v="3"/>
    <x v="67"/>
    <x v="1"/>
    <x v="87"/>
    <x v="0"/>
    <x v="2"/>
    <x v="1"/>
    <x v="0"/>
    <x v="4"/>
  </r>
  <r>
    <x v="93"/>
    <x v="15"/>
    <x v="92"/>
    <x v="1"/>
    <x v="2"/>
    <x v="18"/>
    <x v="2"/>
    <x v="23"/>
    <x v="38"/>
    <x v="88"/>
    <x v="1"/>
    <x v="3"/>
    <x v="0"/>
    <x v="3"/>
    <x v="3"/>
  </r>
  <r>
    <x v="94"/>
    <x v="38"/>
    <x v="93"/>
    <x v="7"/>
    <x v="50"/>
    <x v="11"/>
    <x v="4"/>
    <x v="45"/>
    <x v="0"/>
    <x v="89"/>
    <x v="0"/>
    <x v="4"/>
    <x v="1"/>
    <x v="3"/>
    <x v="5"/>
  </r>
  <r>
    <x v="95"/>
    <x v="49"/>
    <x v="94"/>
    <x v="1"/>
    <x v="49"/>
    <x v="2"/>
    <x v="4"/>
    <x v="52"/>
    <x v="19"/>
    <x v="90"/>
    <x v="1"/>
    <x v="2"/>
    <x v="1"/>
    <x v="9"/>
    <x v="6"/>
  </r>
  <r>
    <x v="96"/>
    <x v="11"/>
    <x v="95"/>
    <x v="5"/>
    <x v="44"/>
    <x v="16"/>
    <x v="4"/>
    <x v="2"/>
    <x v="2"/>
    <x v="91"/>
    <x v="0"/>
    <x v="5"/>
    <x v="1"/>
    <x v="3"/>
    <x v="2"/>
  </r>
  <r>
    <x v="97"/>
    <x v="33"/>
    <x v="96"/>
    <x v="0"/>
    <x v="0"/>
    <x v="22"/>
    <x v="4"/>
    <x v="65"/>
    <x v="0"/>
    <x v="92"/>
    <x v="0"/>
    <x v="2"/>
    <x v="1"/>
    <x v="0"/>
    <x v="0"/>
  </r>
  <r>
    <x v="98"/>
    <x v="11"/>
    <x v="97"/>
    <x v="3"/>
    <x v="10"/>
    <x v="35"/>
    <x v="0"/>
    <x v="57"/>
    <x v="10"/>
    <x v="16"/>
    <x v="1"/>
    <x v="6"/>
    <x v="1"/>
    <x v="3"/>
    <x v="3"/>
  </r>
  <r>
    <x v="99"/>
    <x v="56"/>
    <x v="98"/>
    <x v="0"/>
    <x v="11"/>
    <x v="22"/>
    <x v="4"/>
    <x v="68"/>
    <x v="10"/>
    <x v="93"/>
    <x v="1"/>
    <x v="5"/>
    <x v="1"/>
    <x v="7"/>
    <x v="0"/>
  </r>
  <r>
    <x v="100"/>
    <x v="57"/>
    <x v="99"/>
    <x v="1"/>
    <x v="33"/>
    <x v="1"/>
    <x v="1"/>
    <x v="68"/>
    <x v="0"/>
    <x v="94"/>
    <x v="5"/>
    <x v="0"/>
    <x v="0"/>
    <x v="1"/>
    <x v="2"/>
  </r>
  <r>
    <x v="101"/>
    <x v="37"/>
    <x v="100"/>
    <x v="4"/>
    <x v="26"/>
    <x v="26"/>
    <x v="4"/>
    <x v="69"/>
    <x v="22"/>
    <x v="95"/>
    <x v="0"/>
    <x v="6"/>
    <x v="1"/>
    <x v="0"/>
    <x v="0"/>
  </r>
  <r>
    <x v="102"/>
    <x v="17"/>
    <x v="101"/>
    <x v="0"/>
    <x v="51"/>
    <x v="15"/>
    <x v="4"/>
    <x v="70"/>
    <x v="39"/>
    <x v="96"/>
    <x v="3"/>
    <x v="0"/>
    <x v="0"/>
    <x v="4"/>
    <x v="0"/>
  </r>
  <r>
    <x v="103"/>
    <x v="6"/>
    <x v="36"/>
    <x v="4"/>
    <x v="26"/>
    <x v="13"/>
    <x v="2"/>
    <x v="71"/>
    <x v="40"/>
    <x v="97"/>
    <x v="0"/>
    <x v="4"/>
    <x v="1"/>
    <x v="1"/>
    <x v="4"/>
  </r>
  <r>
    <x v="104"/>
    <x v="33"/>
    <x v="71"/>
    <x v="5"/>
    <x v="32"/>
    <x v="16"/>
    <x v="1"/>
    <x v="72"/>
    <x v="40"/>
    <x v="98"/>
    <x v="0"/>
    <x v="2"/>
    <x v="1"/>
    <x v="0"/>
    <x v="5"/>
  </r>
  <r>
    <x v="105"/>
    <x v="2"/>
    <x v="102"/>
    <x v="8"/>
    <x v="38"/>
    <x v="47"/>
    <x v="3"/>
    <x v="64"/>
    <x v="37"/>
    <x v="99"/>
    <x v="3"/>
    <x v="4"/>
    <x v="1"/>
    <x v="2"/>
    <x v="6"/>
  </r>
  <r>
    <x v="106"/>
    <x v="48"/>
    <x v="103"/>
    <x v="8"/>
    <x v="52"/>
    <x v="45"/>
    <x v="4"/>
    <x v="73"/>
    <x v="19"/>
    <x v="100"/>
    <x v="1"/>
    <x v="4"/>
    <x v="1"/>
    <x v="3"/>
    <x v="2"/>
  </r>
  <r>
    <x v="107"/>
    <x v="21"/>
    <x v="104"/>
    <x v="1"/>
    <x v="46"/>
    <x v="2"/>
    <x v="1"/>
    <x v="34"/>
    <x v="12"/>
    <x v="47"/>
    <x v="0"/>
    <x v="4"/>
    <x v="1"/>
    <x v="7"/>
    <x v="4"/>
  </r>
  <r>
    <x v="108"/>
    <x v="11"/>
    <x v="105"/>
    <x v="1"/>
    <x v="33"/>
    <x v="51"/>
    <x v="3"/>
    <x v="52"/>
    <x v="19"/>
    <x v="101"/>
    <x v="3"/>
    <x v="0"/>
    <x v="0"/>
    <x v="10"/>
    <x v="2"/>
  </r>
  <r>
    <x v="109"/>
    <x v="9"/>
    <x v="106"/>
    <x v="3"/>
    <x v="25"/>
    <x v="32"/>
    <x v="1"/>
    <x v="5"/>
    <x v="22"/>
    <x v="102"/>
    <x v="1"/>
    <x v="3"/>
    <x v="0"/>
    <x v="5"/>
    <x v="4"/>
  </r>
  <r>
    <x v="110"/>
    <x v="9"/>
    <x v="107"/>
    <x v="5"/>
    <x v="53"/>
    <x v="6"/>
    <x v="0"/>
    <x v="10"/>
    <x v="32"/>
    <x v="27"/>
    <x v="3"/>
    <x v="0"/>
    <x v="0"/>
    <x v="7"/>
    <x v="3"/>
  </r>
  <r>
    <x v="111"/>
    <x v="57"/>
    <x v="45"/>
    <x v="1"/>
    <x v="33"/>
    <x v="1"/>
    <x v="1"/>
    <x v="31"/>
    <x v="5"/>
    <x v="103"/>
    <x v="3"/>
    <x v="6"/>
    <x v="1"/>
    <x v="3"/>
    <x v="3"/>
  </r>
  <r>
    <x v="112"/>
    <x v="58"/>
    <x v="108"/>
    <x v="8"/>
    <x v="54"/>
    <x v="19"/>
    <x v="1"/>
    <x v="16"/>
    <x v="25"/>
    <x v="104"/>
    <x v="0"/>
    <x v="5"/>
    <x v="1"/>
    <x v="5"/>
    <x v="0"/>
  </r>
  <r>
    <x v="113"/>
    <x v="59"/>
    <x v="109"/>
    <x v="6"/>
    <x v="43"/>
    <x v="41"/>
    <x v="1"/>
    <x v="74"/>
    <x v="4"/>
    <x v="105"/>
    <x v="3"/>
    <x v="7"/>
    <x v="0"/>
    <x v="8"/>
    <x v="2"/>
  </r>
  <r>
    <x v="114"/>
    <x v="60"/>
    <x v="110"/>
    <x v="2"/>
    <x v="55"/>
    <x v="31"/>
    <x v="5"/>
    <x v="75"/>
    <x v="25"/>
    <x v="106"/>
    <x v="1"/>
    <x v="1"/>
    <x v="1"/>
    <x v="5"/>
    <x v="3"/>
  </r>
  <r>
    <x v="115"/>
    <x v="61"/>
    <x v="111"/>
    <x v="5"/>
    <x v="32"/>
    <x v="43"/>
    <x v="3"/>
    <x v="76"/>
    <x v="10"/>
    <x v="107"/>
    <x v="0"/>
    <x v="6"/>
    <x v="1"/>
    <x v="2"/>
    <x v="6"/>
  </r>
  <r>
    <x v="116"/>
    <x v="62"/>
    <x v="61"/>
    <x v="0"/>
    <x v="47"/>
    <x v="10"/>
    <x v="1"/>
    <x v="77"/>
    <x v="13"/>
    <x v="40"/>
    <x v="3"/>
    <x v="5"/>
    <x v="1"/>
    <x v="7"/>
    <x v="4"/>
  </r>
  <r>
    <x v="117"/>
    <x v="60"/>
    <x v="112"/>
    <x v="1"/>
    <x v="1"/>
    <x v="18"/>
    <x v="0"/>
    <x v="78"/>
    <x v="13"/>
    <x v="108"/>
    <x v="4"/>
    <x v="2"/>
    <x v="1"/>
    <x v="5"/>
    <x v="4"/>
  </r>
  <r>
    <x v="118"/>
    <x v="21"/>
    <x v="113"/>
    <x v="7"/>
    <x v="16"/>
    <x v="11"/>
    <x v="3"/>
    <x v="79"/>
    <x v="19"/>
    <x v="32"/>
    <x v="0"/>
    <x v="5"/>
    <x v="1"/>
    <x v="2"/>
    <x v="2"/>
  </r>
  <r>
    <x v="119"/>
    <x v="4"/>
    <x v="114"/>
    <x v="5"/>
    <x v="41"/>
    <x v="30"/>
    <x v="5"/>
    <x v="80"/>
    <x v="41"/>
    <x v="109"/>
    <x v="0"/>
    <x v="1"/>
    <x v="1"/>
    <x v="3"/>
    <x v="3"/>
  </r>
  <r>
    <x v="120"/>
    <x v="39"/>
    <x v="115"/>
    <x v="3"/>
    <x v="24"/>
    <x v="52"/>
    <x v="2"/>
    <x v="81"/>
    <x v="29"/>
    <x v="110"/>
    <x v="0"/>
    <x v="7"/>
    <x v="0"/>
    <x v="3"/>
    <x v="4"/>
  </r>
  <r>
    <x v="121"/>
    <x v="61"/>
    <x v="116"/>
    <x v="8"/>
    <x v="34"/>
    <x v="45"/>
    <x v="1"/>
    <x v="82"/>
    <x v="42"/>
    <x v="111"/>
    <x v="0"/>
    <x v="1"/>
    <x v="1"/>
    <x v="5"/>
    <x v="0"/>
  </r>
  <r>
    <x v="122"/>
    <x v="63"/>
    <x v="117"/>
    <x v="4"/>
    <x v="20"/>
    <x v="25"/>
    <x v="1"/>
    <x v="8"/>
    <x v="43"/>
    <x v="36"/>
    <x v="3"/>
    <x v="4"/>
    <x v="1"/>
    <x v="1"/>
    <x v="3"/>
  </r>
  <r>
    <x v="123"/>
    <x v="0"/>
    <x v="118"/>
    <x v="5"/>
    <x v="56"/>
    <x v="6"/>
    <x v="1"/>
    <x v="83"/>
    <x v="4"/>
    <x v="100"/>
    <x v="3"/>
    <x v="6"/>
    <x v="1"/>
    <x v="3"/>
    <x v="0"/>
  </r>
  <r>
    <x v="124"/>
    <x v="31"/>
    <x v="36"/>
    <x v="4"/>
    <x v="5"/>
    <x v="26"/>
    <x v="0"/>
    <x v="49"/>
    <x v="43"/>
    <x v="112"/>
    <x v="1"/>
    <x v="4"/>
    <x v="1"/>
    <x v="5"/>
    <x v="5"/>
  </r>
  <r>
    <x v="125"/>
    <x v="33"/>
    <x v="119"/>
    <x v="4"/>
    <x v="42"/>
    <x v="5"/>
    <x v="1"/>
    <x v="84"/>
    <x v="10"/>
    <x v="113"/>
    <x v="1"/>
    <x v="1"/>
    <x v="1"/>
    <x v="2"/>
    <x v="4"/>
  </r>
  <r>
    <x v="126"/>
    <x v="1"/>
    <x v="120"/>
    <x v="8"/>
    <x v="57"/>
    <x v="36"/>
    <x v="1"/>
    <x v="45"/>
    <x v="22"/>
    <x v="114"/>
    <x v="3"/>
    <x v="3"/>
    <x v="0"/>
    <x v="5"/>
    <x v="5"/>
  </r>
  <r>
    <x v="127"/>
    <x v="22"/>
    <x v="121"/>
    <x v="4"/>
    <x v="5"/>
    <x v="38"/>
    <x v="3"/>
    <x v="62"/>
    <x v="13"/>
    <x v="115"/>
    <x v="1"/>
    <x v="2"/>
    <x v="1"/>
    <x v="2"/>
    <x v="3"/>
  </r>
  <r>
    <x v="128"/>
    <x v="43"/>
    <x v="122"/>
    <x v="0"/>
    <x v="0"/>
    <x v="49"/>
    <x v="1"/>
    <x v="85"/>
    <x v="25"/>
    <x v="82"/>
    <x v="1"/>
    <x v="4"/>
    <x v="1"/>
    <x v="2"/>
    <x v="4"/>
  </r>
  <r>
    <x v="129"/>
    <x v="32"/>
    <x v="55"/>
    <x v="4"/>
    <x v="26"/>
    <x v="13"/>
    <x v="2"/>
    <x v="7"/>
    <x v="0"/>
    <x v="83"/>
    <x v="4"/>
    <x v="2"/>
    <x v="1"/>
    <x v="7"/>
    <x v="4"/>
  </r>
  <r>
    <x v="130"/>
    <x v="32"/>
    <x v="123"/>
    <x v="2"/>
    <x v="55"/>
    <x v="53"/>
    <x v="1"/>
    <x v="86"/>
    <x v="12"/>
    <x v="116"/>
    <x v="0"/>
    <x v="1"/>
    <x v="1"/>
    <x v="1"/>
    <x v="3"/>
  </r>
  <r>
    <x v="131"/>
    <x v="22"/>
    <x v="124"/>
    <x v="5"/>
    <x v="53"/>
    <x v="43"/>
    <x v="4"/>
    <x v="87"/>
    <x v="19"/>
    <x v="117"/>
    <x v="1"/>
    <x v="2"/>
    <x v="1"/>
    <x v="7"/>
    <x v="4"/>
  </r>
  <r>
    <x v="132"/>
    <x v="64"/>
    <x v="125"/>
    <x v="7"/>
    <x v="16"/>
    <x v="54"/>
    <x v="2"/>
    <x v="36"/>
    <x v="22"/>
    <x v="118"/>
    <x v="1"/>
    <x v="1"/>
    <x v="1"/>
    <x v="5"/>
    <x v="0"/>
  </r>
  <r>
    <x v="133"/>
    <x v="62"/>
    <x v="126"/>
    <x v="8"/>
    <x v="57"/>
    <x v="39"/>
    <x v="1"/>
    <x v="46"/>
    <x v="0"/>
    <x v="15"/>
    <x v="0"/>
    <x v="7"/>
    <x v="0"/>
    <x v="7"/>
    <x v="4"/>
  </r>
  <r>
    <x v="134"/>
    <x v="65"/>
    <x v="127"/>
    <x v="6"/>
    <x v="43"/>
    <x v="48"/>
    <x v="5"/>
    <x v="57"/>
    <x v="36"/>
    <x v="119"/>
    <x v="0"/>
    <x v="2"/>
    <x v="1"/>
    <x v="9"/>
    <x v="0"/>
  </r>
  <r>
    <x v="135"/>
    <x v="66"/>
    <x v="128"/>
    <x v="2"/>
    <x v="30"/>
    <x v="3"/>
    <x v="3"/>
    <x v="88"/>
    <x v="44"/>
    <x v="120"/>
    <x v="3"/>
    <x v="5"/>
    <x v="1"/>
    <x v="1"/>
    <x v="3"/>
  </r>
  <r>
    <x v="136"/>
    <x v="67"/>
    <x v="129"/>
    <x v="7"/>
    <x v="58"/>
    <x v="50"/>
    <x v="1"/>
    <x v="20"/>
    <x v="25"/>
    <x v="121"/>
    <x v="0"/>
    <x v="4"/>
    <x v="1"/>
    <x v="3"/>
    <x v="0"/>
  </r>
  <r>
    <x v="137"/>
    <x v="11"/>
    <x v="130"/>
    <x v="3"/>
    <x v="29"/>
    <x v="9"/>
    <x v="3"/>
    <x v="65"/>
    <x v="43"/>
    <x v="122"/>
    <x v="0"/>
    <x v="7"/>
    <x v="0"/>
    <x v="3"/>
    <x v="2"/>
  </r>
  <r>
    <x v="138"/>
    <x v="68"/>
    <x v="131"/>
    <x v="3"/>
    <x v="4"/>
    <x v="9"/>
    <x v="3"/>
    <x v="61"/>
    <x v="23"/>
    <x v="123"/>
    <x v="1"/>
    <x v="4"/>
    <x v="1"/>
    <x v="3"/>
    <x v="5"/>
  </r>
  <r>
    <x v="139"/>
    <x v="25"/>
    <x v="132"/>
    <x v="7"/>
    <x v="58"/>
    <x v="40"/>
    <x v="4"/>
    <x v="89"/>
    <x v="38"/>
    <x v="96"/>
    <x v="0"/>
    <x v="2"/>
    <x v="1"/>
    <x v="1"/>
    <x v="5"/>
  </r>
  <r>
    <x v="140"/>
    <x v="69"/>
    <x v="133"/>
    <x v="7"/>
    <x v="39"/>
    <x v="20"/>
    <x v="1"/>
    <x v="52"/>
    <x v="37"/>
    <x v="124"/>
    <x v="1"/>
    <x v="0"/>
    <x v="0"/>
    <x v="3"/>
    <x v="3"/>
  </r>
  <r>
    <x v="141"/>
    <x v="44"/>
    <x v="134"/>
    <x v="4"/>
    <x v="20"/>
    <x v="26"/>
    <x v="0"/>
    <x v="90"/>
    <x v="15"/>
    <x v="125"/>
    <x v="1"/>
    <x v="1"/>
    <x v="1"/>
    <x v="8"/>
    <x v="3"/>
  </r>
  <r>
    <x v="142"/>
    <x v="70"/>
    <x v="135"/>
    <x v="1"/>
    <x v="46"/>
    <x v="46"/>
    <x v="5"/>
    <x v="7"/>
    <x v="6"/>
    <x v="126"/>
    <x v="1"/>
    <x v="2"/>
    <x v="1"/>
    <x v="5"/>
    <x v="3"/>
  </r>
  <r>
    <x v="143"/>
    <x v="50"/>
    <x v="136"/>
    <x v="7"/>
    <x v="39"/>
    <x v="55"/>
    <x v="4"/>
    <x v="65"/>
    <x v="21"/>
    <x v="127"/>
    <x v="3"/>
    <x v="5"/>
    <x v="1"/>
    <x v="1"/>
    <x v="0"/>
  </r>
  <r>
    <x v="144"/>
    <x v="4"/>
    <x v="137"/>
    <x v="8"/>
    <x v="57"/>
    <x v="45"/>
    <x v="4"/>
    <x v="91"/>
    <x v="13"/>
    <x v="122"/>
    <x v="0"/>
    <x v="6"/>
    <x v="1"/>
    <x v="4"/>
    <x v="5"/>
  </r>
  <r>
    <x v="145"/>
    <x v="71"/>
    <x v="138"/>
    <x v="0"/>
    <x v="51"/>
    <x v="15"/>
    <x v="3"/>
    <x v="65"/>
    <x v="4"/>
    <x v="128"/>
    <x v="1"/>
    <x v="5"/>
    <x v="1"/>
    <x v="4"/>
    <x v="6"/>
  </r>
  <r>
    <x v="146"/>
    <x v="66"/>
    <x v="139"/>
    <x v="3"/>
    <x v="10"/>
    <x v="12"/>
    <x v="1"/>
    <x v="92"/>
    <x v="45"/>
    <x v="129"/>
    <x v="1"/>
    <x v="6"/>
    <x v="1"/>
    <x v="5"/>
    <x v="2"/>
  </r>
  <r>
    <x v="147"/>
    <x v="72"/>
    <x v="140"/>
    <x v="1"/>
    <x v="1"/>
    <x v="46"/>
    <x v="1"/>
    <x v="41"/>
    <x v="46"/>
    <x v="130"/>
    <x v="0"/>
    <x v="5"/>
    <x v="1"/>
    <x v="7"/>
    <x v="0"/>
  </r>
  <r>
    <x v="148"/>
    <x v="71"/>
    <x v="137"/>
    <x v="1"/>
    <x v="59"/>
    <x v="27"/>
    <x v="0"/>
    <x v="50"/>
    <x v="2"/>
    <x v="131"/>
    <x v="3"/>
    <x v="6"/>
    <x v="1"/>
    <x v="1"/>
    <x v="0"/>
  </r>
  <r>
    <x v="149"/>
    <x v="1"/>
    <x v="141"/>
    <x v="6"/>
    <x v="60"/>
    <x v="56"/>
    <x v="1"/>
    <x v="93"/>
    <x v="33"/>
    <x v="132"/>
    <x v="1"/>
    <x v="4"/>
    <x v="1"/>
    <x v="5"/>
    <x v="4"/>
  </r>
  <r>
    <x v="150"/>
    <x v="67"/>
    <x v="61"/>
    <x v="1"/>
    <x v="37"/>
    <x v="1"/>
    <x v="1"/>
    <x v="0"/>
    <x v="21"/>
    <x v="52"/>
    <x v="3"/>
    <x v="5"/>
    <x v="1"/>
    <x v="2"/>
    <x v="0"/>
  </r>
  <r>
    <x v="151"/>
    <x v="58"/>
    <x v="142"/>
    <x v="3"/>
    <x v="24"/>
    <x v="23"/>
    <x v="2"/>
    <x v="25"/>
    <x v="25"/>
    <x v="9"/>
    <x v="0"/>
    <x v="5"/>
    <x v="1"/>
    <x v="3"/>
    <x v="4"/>
  </r>
  <r>
    <x v="152"/>
    <x v="24"/>
    <x v="61"/>
    <x v="0"/>
    <x v="0"/>
    <x v="49"/>
    <x v="1"/>
    <x v="39"/>
    <x v="6"/>
    <x v="133"/>
    <x v="0"/>
    <x v="5"/>
    <x v="1"/>
    <x v="0"/>
    <x v="3"/>
  </r>
  <r>
    <x v="153"/>
    <x v="34"/>
    <x v="143"/>
    <x v="7"/>
    <x v="12"/>
    <x v="50"/>
    <x v="2"/>
    <x v="94"/>
    <x v="21"/>
    <x v="82"/>
    <x v="3"/>
    <x v="0"/>
    <x v="0"/>
    <x v="8"/>
    <x v="3"/>
  </r>
  <r>
    <x v="154"/>
    <x v="69"/>
    <x v="144"/>
    <x v="2"/>
    <x v="61"/>
    <x v="31"/>
    <x v="2"/>
    <x v="65"/>
    <x v="22"/>
    <x v="134"/>
    <x v="1"/>
    <x v="0"/>
    <x v="0"/>
    <x v="5"/>
    <x v="5"/>
  </r>
  <r>
    <x v="155"/>
    <x v="11"/>
    <x v="145"/>
    <x v="8"/>
    <x v="62"/>
    <x v="57"/>
    <x v="0"/>
    <x v="34"/>
    <x v="30"/>
    <x v="23"/>
    <x v="0"/>
    <x v="4"/>
    <x v="1"/>
    <x v="2"/>
    <x v="2"/>
  </r>
  <r>
    <x v="156"/>
    <x v="44"/>
    <x v="146"/>
    <x v="7"/>
    <x v="50"/>
    <x v="54"/>
    <x v="4"/>
    <x v="95"/>
    <x v="15"/>
    <x v="33"/>
    <x v="1"/>
    <x v="2"/>
    <x v="1"/>
    <x v="1"/>
    <x v="0"/>
  </r>
  <r>
    <x v="157"/>
    <x v="71"/>
    <x v="147"/>
    <x v="6"/>
    <x v="35"/>
    <x v="56"/>
    <x v="5"/>
    <x v="5"/>
    <x v="24"/>
    <x v="135"/>
    <x v="2"/>
    <x v="4"/>
    <x v="1"/>
    <x v="7"/>
    <x v="0"/>
  </r>
  <r>
    <x v="158"/>
    <x v="40"/>
    <x v="148"/>
    <x v="6"/>
    <x v="35"/>
    <x v="56"/>
    <x v="4"/>
    <x v="96"/>
    <x v="12"/>
    <x v="42"/>
    <x v="3"/>
    <x v="2"/>
    <x v="1"/>
    <x v="4"/>
    <x v="2"/>
  </r>
  <r>
    <x v="159"/>
    <x v="69"/>
    <x v="149"/>
    <x v="7"/>
    <x v="63"/>
    <x v="24"/>
    <x v="1"/>
    <x v="97"/>
    <x v="5"/>
    <x v="136"/>
    <x v="2"/>
    <x v="5"/>
    <x v="1"/>
    <x v="0"/>
    <x v="0"/>
  </r>
  <r>
    <x v="160"/>
    <x v="16"/>
    <x v="150"/>
    <x v="0"/>
    <x v="11"/>
    <x v="15"/>
    <x v="4"/>
    <x v="87"/>
    <x v="19"/>
    <x v="137"/>
    <x v="4"/>
    <x v="0"/>
    <x v="0"/>
    <x v="8"/>
    <x v="4"/>
  </r>
  <r>
    <x v="161"/>
    <x v="70"/>
    <x v="151"/>
    <x v="2"/>
    <x v="61"/>
    <x v="58"/>
    <x v="2"/>
    <x v="98"/>
    <x v="39"/>
    <x v="138"/>
    <x v="3"/>
    <x v="0"/>
    <x v="0"/>
    <x v="7"/>
    <x v="0"/>
  </r>
  <r>
    <x v="162"/>
    <x v="73"/>
    <x v="152"/>
    <x v="8"/>
    <x v="64"/>
    <x v="45"/>
    <x v="4"/>
    <x v="74"/>
    <x v="21"/>
    <x v="4"/>
    <x v="3"/>
    <x v="5"/>
    <x v="1"/>
    <x v="5"/>
    <x v="2"/>
  </r>
  <r>
    <x v="163"/>
    <x v="3"/>
    <x v="53"/>
    <x v="0"/>
    <x v="65"/>
    <x v="33"/>
    <x v="5"/>
    <x v="18"/>
    <x v="1"/>
    <x v="139"/>
    <x v="0"/>
    <x v="2"/>
    <x v="1"/>
    <x v="2"/>
    <x v="0"/>
  </r>
  <r>
    <x v="164"/>
    <x v="63"/>
    <x v="153"/>
    <x v="2"/>
    <x v="66"/>
    <x v="59"/>
    <x v="2"/>
    <x v="64"/>
    <x v="7"/>
    <x v="136"/>
    <x v="3"/>
    <x v="5"/>
    <x v="1"/>
    <x v="3"/>
    <x v="5"/>
  </r>
  <r>
    <x v="165"/>
    <x v="36"/>
    <x v="154"/>
    <x v="3"/>
    <x v="24"/>
    <x v="9"/>
    <x v="5"/>
    <x v="99"/>
    <x v="44"/>
    <x v="140"/>
    <x v="0"/>
    <x v="4"/>
    <x v="1"/>
    <x v="10"/>
    <x v="4"/>
  </r>
  <r>
    <x v="166"/>
    <x v="25"/>
    <x v="155"/>
    <x v="3"/>
    <x v="25"/>
    <x v="9"/>
    <x v="2"/>
    <x v="61"/>
    <x v="17"/>
    <x v="71"/>
    <x v="3"/>
    <x v="1"/>
    <x v="1"/>
    <x v="5"/>
    <x v="4"/>
  </r>
  <r>
    <x v="167"/>
    <x v="43"/>
    <x v="156"/>
    <x v="5"/>
    <x v="44"/>
    <x v="6"/>
    <x v="1"/>
    <x v="73"/>
    <x v="21"/>
    <x v="141"/>
    <x v="1"/>
    <x v="2"/>
    <x v="1"/>
    <x v="2"/>
    <x v="3"/>
  </r>
  <r>
    <x v="168"/>
    <x v="74"/>
    <x v="157"/>
    <x v="0"/>
    <x v="36"/>
    <x v="0"/>
    <x v="0"/>
    <x v="100"/>
    <x v="26"/>
    <x v="142"/>
    <x v="0"/>
    <x v="5"/>
    <x v="1"/>
    <x v="5"/>
    <x v="4"/>
  </r>
  <r>
    <x v="169"/>
    <x v="66"/>
    <x v="158"/>
    <x v="2"/>
    <x v="66"/>
    <x v="31"/>
    <x v="2"/>
    <x v="15"/>
    <x v="30"/>
    <x v="143"/>
    <x v="0"/>
    <x v="1"/>
    <x v="1"/>
    <x v="0"/>
    <x v="0"/>
  </r>
  <r>
    <x v="170"/>
    <x v="26"/>
    <x v="159"/>
    <x v="6"/>
    <x v="18"/>
    <x v="41"/>
    <x v="5"/>
    <x v="101"/>
    <x v="7"/>
    <x v="1"/>
    <x v="3"/>
    <x v="0"/>
    <x v="0"/>
    <x v="3"/>
    <x v="4"/>
  </r>
  <r>
    <x v="171"/>
    <x v="61"/>
    <x v="73"/>
    <x v="2"/>
    <x v="66"/>
    <x v="59"/>
    <x v="1"/>
    <x v="75"/>
    <x v="38"/>
    <x v="144"/>
    <x v="1"/>
    <x v="1"/>
    <x v="1"/>
    <x v="5"/>
    <x v="2"/>
  </r>
  <r>
    <x v="172"/>
    <x v="75"/>
    <x v="160"/>
    <x v="1"/>
    <x v="33"/>
    <x v="46"/>
    <x v="4"/>
    <x v="65"/>
    <x v="4"/>
    <x v="145"/>
    <x v="0"/>
    <x v="2"/>
    <x v="1"/>
    <x v="5"/>
    <x v="0"/>
  </r>
  <r>
    <x v="173"/>
    <x v="52"/>
    <x v="161"/>
    <x v="0"/>
    <x v="13"/>
    <x v="14"/>
    <x v="4"/>
    <x v="46"/>
    <x v="0"/>
    <x v="146"/>
    <x v="3"/>
    <x v="2"/>
    <x v="1"/>
    <x v="1"/>
    <x v="0"/>
  </r>
  <r>
    <x v="174"/>
    <x v="76"/>
    <x v="162"/>
    <x v="3"/>
    <x v="24"/>
    <x v="32"/>
    <x v="4"/>
    <x v="81"/>
    <x v="29"/>
    <x v="56"/>
    <x v="0"/>
    <x v="7"/>
    <x v="0"/>
    <x v="0"/>
    <x v="4"/>
  </r>
  <r>
    <x v="175"/>
    <x v="41"/>
    <x v="163"/>
    <x v="0"/>
    <x v="51"/>
    <x v="49"/>
    <x v="5"/>
    <x v="101"/>
    <x v="22"/>
    <x v="110"/>
    <x v="1"/>
    <x v="2"/>
    <x v="1"/>
    <x v="0"/>
    <x v="4"/>
  </r>
  <r>
    <x v="176"/>
    <x v="23"/>
    <x v="164"/>
    <x v="7"/>
    <x v="67"/>
    <x v="60"/>
    <x v="5"/>
    <x v="78"/>
    <x v="23"/>
    <x v="75"/>
    <x v="1"/>
    <x v="1"/>
    <x v="1"/>
    <x v="1"/>
    <x v="4"/>
  </r>
  <r>
    <x v="177"/>
    <x v="18"/>
    <x v="165"/>
    <x v="3"/>
    <x v="45"/>
    <x v="28"/>
    <x v="1"/>
    <x v="73"/>
    <x v="4"/>
    <x v="62"/>
    <x v="1"/>
    <x v="4"/>
    <x v="1"/>
    <x v="3"/>
    <x v="2"/>
  </r>
  <r>
    <x v="178"/>
    <x v="77"/>
    <x v="166"/>
    <x v="8"/>
    <x v="52"/>
    <x v="19"/>
    <x v="3"/>
    <x v="34"/>
    <x v="10"/>
    <x v="51"/>
    <x v="0"/>
    <x v="4"/>
    <x v="1"/>
    <x v="10"/>
    <x v="0"/>
  </r>
  <r>
    <x v="179"/>
    <x v="20"/>
    <x v="167"/>
    <x v="6"/>
    <x v="18"/>
    <x v="41"/>
    <x v="0"/>
    <x v="102"/>
    <x v="6"/>
    <x v="147"/>
    <x v="1"/>
    <x v="1"/>
    <x v="1"/>
    <x v="1"/>
    <x v="5"/>
  </r>
  <r>
    <x v="180"/>
    <x v="66"/>
    <x v="168"/>
    <x v="2"/>
    <x v="66"/>
    <x v="53"/>
    <x v="5"/>
    <x v="103"/>
    <x v="4"/>
    <x v="118"/>
    <x v="0"/>
    <x v="5"/>
    <x v="1"/>
    <x v="5"/>
    <x v="5"/>
  </r>
  <r>
    <x v="181"/>
    <x v="78"/>
    <x v="169"/>
    <x v="1"/>
    <x v="2"/>
    <x v="51"/>
    <x v="1"/>
    <x v="46"/>
    <x v="2"/>
    <x v="115"/>
    <x v="0"/>
    <x v="5"/>
    <x v="1"/>
    <x v="7"/>
    <x v="0"/>
  </r>
  <r>
    <x v="182"/>
    <x v="26"/>
    <x v="170"/>
    <x v="7"/>
    <x v="67"/>
    <x v="20"/>
    <x v="1"/>
    <x v="104"/>
    <x v="42"/>
    <x v="148"/>
    <x v="0"/>
    <x v="6"/>
    <x v="1"/>
    <x v="7"/>
    <x v="0"/>
  </r>
  <r>
    <x v="183"/>
    <x v="49"/>
    <x v="171"/>
    <x v="0"/>
    <x v="0"/>
    <x v="10"/>
    <x v="4"/>
    <x v="97"/>
    <x v="13"/>
    <x v="102"/>
    <x v="1"/>
    <x v="4"/>
    <x v="1"/>
    <x v="7"/>
    <x v="4"/>
  </r>
  <r>
    <x v="184"/>
    <x v="4"/>
    <x v="172"/>
    <x v="7"/>
    <x v="67"/>
    <x v="24"/>
    <x v="3"/>
    <x v="64"/>
    <x v="4"/>
    <x v="149"/>
    <x v="0"/>
    <x v="5"/>
    <x v="1"/>
    <x v="5"/>
    <x v="3"/>
  </r>
  <r>
    <x v="185"/>
    <x v="59"/>
    <x v="66"/>
    <x v="0"/>
    <x v="51"/>
    <x v="14"/>
    <x v="4"/>
    <x v="18"/>
    <x v="6"/>
    <x v="52"/>
    <x v="3"/>
    <x v="1"/>
    <x v="1"/>
    <x v="7"/>
    <x v="5"/>
  </r>
  <r>
    <x v="186"/>
    <x v="79"/>
    <x v="173"/>
    <x v="2"/>
    <x v="30"/>
    <x v="58"/>
    <x v="3"/>
    <x v="105"/>
    <x v="36"/>
    <x v="150"/>
    <x v="0"/>
    <x v="1"/>
    <x v="1"/>
    <x v="7"/>
    <x v="2"/>
  </r>
  <r>
    <x v="187"/>
    <x v="72"/>
    <x v="174"/>
    <x v="4"/>
    <x v="20"/>
    <x v="25"/>
    <x v="0"/>
    <x v="4"/>
    <x v="24"/>
    <x v="52"/>
    <x v="1"/>
    <x v="5"/>
    <x v="1"/>
    <x v="1"/>
    <x v="2"/>
  </r>
  <r>
    <x v="188"/>
    <x v="56"/>
    <x v="175"/>
    <x v="4"/>
    <x v="17"/>
    <x v="5"/>
    <x v="1"/>
    <x v="36"/>
    <x v="23"/>
    <x v="14"/>
    <x v="3"/>
    <x v="4"/>
    <x v="1"/>
    <x v="1"/>
    <x v="0"/>
  </r>
  <r>
    <x v="189"/>
    <x v="60"/>
    <x v="176"/>
    <x v="2"/>
    <x v="31"/>
    <x v="31"/>
    <x v="5"/>
    <x v="71"/>
    <x v="33"/>
    <x v="151"/>
    <x v="2"/>
    <x v="6"/>
    <x v="1"/>
    <x v="5"/>
    <x v="4"/>
  </r>
  <r>
    <x v="190"/>
    <x v="61"/>
    <x v="177"/>
    <x v="3"/>
    <x v="10"/>
    <x v="4"/>
    <x v="1"/>
    <x v="50"/>
    <x v="36"/>
    <x v="152"/>
    <x v="0"/>
    <x v="5"/>
    <x v="1"/>
    <x v="2"/>
    <x v="0"/>
  </r>
  <r>
    <x v="191"/>
    <x v="75"/>
    <x v="178"/>
    <x v="5"/>
    <x v="6"/>
    <x v="61"/>
    <x v="4"/>
    <x v="69"/>
    <x v="5"/>
    <x v="153"/>
    <x v="3"/>
    <x v="1"/>
    <x v="1"/>
    <x v="3"/>
    <x v="2"/>
  </r>
  <r>
    <x v="192"/>
    <x v="4"/>
    <x v="179"/>
    <x v="8"/>
    <x v="62"/>
    <x v="19"/>
    <x v="2"/>
    <x v="106"/>
    <x v="15"/>
    <x v="154"/>
    <x v="0"/>
    <x v="5"/>
    <x v="1"/>
    <x v="7"/>
    <x v="0"/>
  </r>
  <r>
    <x v="193"/>
    <x v="72"/>
    <x v="180"/>
    <x v="5"/>
    <x v="68"/>
    <x v="62"/>
    <x v="4"/>
    <x v="39"/>
    <x v="30"/>
    <x v="146"/>
    <x v="0"/>
    <x v="0"/>
    <x v="0"/>
    <x v="0"/>
    <x v="6"/>
  </r>
  <r>
    <x v="194"/>
    <x v="57"/>
    <x v="181"/>
    <x v="0"/>
    <x v="11"/>
    <x v="10"/>
    <x v="3"/>
    <x v="31"/>
    <x v="22"/>
    <x v="93"/>
    <x v="3"/>
    <x v="5"/>
    <x v="1"/>
    <x v="7"/>
    <x v="4"/>
  </r>
  <r>
    <x v="195"/>
    <x v="55"/>
    <x v="182"/>
    <x v="0"/>
    <x v="0"/>
    <x v="10"/>
    <x v="4"/>
    <x v="29"/>
    <x v="29"/>
    <x v="46"/>
    <x v="1"/>
    <x v="6"/>
    <x v="1"/>
    <x v="2"/>
    <x v="2"/>
  </r>
  <r>
    <x v="196"/>
    <x v="31"/>
    <x v="183"/>
    <x v="5"/>
    <x v="44"/>
    <x v="63"/>
    <x v="1"/>
    <x v="73"/>
    <x v="21"/>
    <x v="105"/>
    <x v="0"/>
    <x v="2"/>
    <x v="1"/>
    <x v="3"/>
    <x v="5"/>
  </r>
  <r>
    <x v="197"/>
    <x v="80"/>
    <x v="184"/>
    <x v="8"/>
    <x v="22"/>
    <x v="36"/>
    <x v="4"/>
    <x v="0"/>
    <x v="19"/>
    <x v="145"/>
    <x v="0"/>
    <x v="1"/>
    <x v="1"/>
    <x v="1"/>
    <x v="0"/>
  </r>
  <r>
    <x v="198"/>
    <x v="66"/>
    <x v="185"/>
    <x v="0"/>
    <x v="47"/>
    <x v="0"/>
    <x v="1"/>
    <x v="60"/>
    <x v="29"/>
    <x v="155"/>
    <x v="0"/>
    <x v="5"/>
    <x v="1"/>
    <x v="7"/>
    <x v="2"/>
  </r>
  <r>
    <x v="199"/>
    <x v="32"/>
    <x v="186"/>
    <x v="7"/>
    <x v="12"/>
    <x v="55"/>
    <x v="4"/>
    <x v="77"/>
    <x v="22"/>
    <x v="44"/>
    <x v="1"/>
    <x v="6"/>
    <x v="1"/>
    <x v="7"/>
    <x v="0"/>
  </r>
  <r>
    <x v="200"/>
    <x v="59"/>
    <x v="187"/>
    <x v="7"/>
    <x v="12"/>
    <x v="50"/>
    <x v="1"/>
    <x v="107"/>
    <x v="24"/>
    <x v="156"/>
    <x v="0"/>
    <x v="3"/>
    <x v="0"/>
    <x v="4"/>
    <x v="6"/>
  </r>
  <r>
    <x v="201"/>
    <x v="40"/>
    <x v="188"/>
    <x v="8"/>
    <x v="64"/>
    <x v="39"/>
    <x v="5"/>
    <x v="46"/>
    <x v="13"/>
    <x v="84"/>
    <x v="0"/>
    <x v="2"/>
    <x v="1"/>
    <x v="8"/>
    <x v="6"/>
  </r>
  <r>
    <x v="202"/>
    <x v="31"/>
    <x v="189"/>
    <x v="7"/>
    <x v="69"/>
    <x v="50"/>
    <x v="1"/>
    <x v="51"/>
    <x v="12"/>
    <x v="157"/>
    <x v="0"/>
    <x v="5"/>
    <x v="1"/>
    <x v="1"/>
    <x v="6"/>
  </r>
  <r>
    <x v="203"/>
    <x v="32"/>
    <x v="190"/>
    <x v="3"/>
    <x v="24"/>
    <x v="9"/>
    <x v="1"/>
    <x v="64"/>
    <x v="4"/>
    <x v="158"/>
    <x v="0"/>
    <x v="2"/>
    <x v="1"/>
    <x v="7"/>
    <x v="2"/>
  </r>
  <r>
    <x v="204"/>
    <x v="71"/>
    <x v="191"/>
    <x v="2"/>
    <x v="8"/>
    <x v="53"/>
    <x v="1"/>
    <x v="108"/>
    <x v="44"/>
    <x v="159"/>
    <x v="0"/>
    <x v="0"/>
    <x v="0"/>
    <x v="2"/>
    <x v="4"/>
  </r>
  <r>
    <x v="205"/>
    <x v="5"/>
    <x v="66"/>
    <x v="3"/>
    <x v="10"/>
    <x v="9"/>
    <x v="0"/>
    <x v="52"/>
    <x v="37"/>
    <x v="160"/>
    <x v="1"/>
    <x v="1"/>
    <x v="1"/>
    <x v="7"/>
    <x v="4"/>
  </r>
  <r>
    <x v="206"/>
    <x v="81"/>
    <x v="116"/>
    <x v="2"/>
    <x v="70"/>
    <x v="58"/>
    <x v="1"/>
    <x v="109"/>
    <x v="12"/>
    <x v="161"/>
    <x v="4"/>
    <x v="1"/>
    <x v="1"/>
    <x v="1"/>
    <x v="4"/>
  </r>
  <r>
    <x v="207"/>
    <x v="61"/>
    <x v="192"/>
    <x v="4"/>
    <x v="5"/>
    <x v="38"/>
    <x v="3"/>
    <x v="1"/>
    <x v="36"/>
    <x v="162"/>
    <x v="3"/>
    <x v="5"/>
    <x v="1"/>
    <x v="2"/>
    <x v="2"/>
  </r>
  <r>
    <x v="208"/>
    <x v="37"/>
    <x v="98"/>
    <x v="1"/>
    <x v="33"/>
    <x v="1"/>
    <x v="2"/>
    <x v="110"/>
    <x v="2"/>
    <x v="163"/>
    <x v="2"/>
    <x v="5"/>
    <x v="1"/>
    <x v="2"/>
    <x v="1"/>
  </r>
  <r>
    <x v="209"/>
    <x v="33"/>
    <x v="193"/>
    <x v="8"/>
    <x v="22"/>
    <x v="57"/>
    <x v="4"/>
    <x v="111"/>
    <x v="4"/>
    <x v="95"/>
    <x v="1"/>
    <x v="4"/>
    <x v="1"/>
    <x v="7"/>
    <x v="4"/>
  </r>
  <r>
    <x v="210"/>
    <x v="72"/>
    <x v="194"/>
    <x v="2"/>
    <x v="8"/>
    <x v="29"/>
    <x v="1"/>
    <x v="15"/>
    <x v="22"/>
    <x v="164"/>
    <x v="0"/>
    <x v="2"/>
    <x v="1"/>
    <x v="3"/>
    <x v="3"/>
  </r>
  <r>
    <x v="211"/>
    <x v="30"/>
    <x v="195"/>
    <x v="4"/>
    <x v="26"/>
    <x v="26"/>
    <x v="3"/>
    <x v="34"/>
    <x v="30"/>
    <x v="159"/>
    <x v="1"/>
    <x v="4"/>
    <x v="1"/>
    <x v="1"/>
    <x v="3"/>
  </r>
  <r>
    <x v="212"/>
    <x v="50"/>
    <x v="196"/>
    <x v="1"/>
    <x v="1"/>
    <x v="37"/>
    <x v="0"/>
    <x v="21"/>
    <x v="13"/>
    <x v="165"/>
    <x v="0"/>
    <x v="2"/>
    <x v="1"/>
    <x v="7"/>
    <x v="2"/>
  </r>
  <r>
    <x v="213"/>
    <x v="58"/>
    <x v="197"/>
    <x v="3"/>
    <x v="25"/>
    <x v="9"/>
    <x v="3"/>
    <x v="112"/>
    <x v="10"/>
    <x v="147"/>
    <x v="3"/>
    <x v="1"/>
    <x v="1"/>
    <x v="3"/>
    <x v="0"/>
  </r>
  <r>
    <x v="214"/>
    <x v="44"/>
    <x v="198"/>
    <x v="7"/>
    <x v="63"/>
    <x v="54"/>
    <x v="1"/>
    <x v="113"/>
    <x v="7"/>
    <x v="78"/>
    <x v="4"/>
    <x v="4"/>
    <x v="1"/>
    <x v="3"/>
    <x v="4"/>
  </r>
  <r>
    <x v="215"/>
    <x v="78"/>
    <x v="199"/>
    <x v="6"/>
    <x v="48"/>
    <x v="64"/>
    <x v="0"/>
    <x v="81"/>
    <x v="43"/>
    <x v="166"/>
    <x v="4"/>
    <x v="1"/>
    <x v="1"/>
    <x v="1"/>
    <x v="0"/>
  </r>
  <r>
    <x v="216"/>
    <x v="46"/>
    <x v="200"/>
    <x v="6"/>
    <x v="35"/>
    <x v="65"/>
    <x v="2"/>
    <x v="114"/>
    <x v="32"/>
    <x v="87"/>
    <x v="3"/>
    <x v="2"/>
    <x v="1"/>
    <x v="5"/>
    <x v="0"/>
  </r>
  <r>
    <x v="217"/>
    <x v="13"/>
    <x v="201"/>
    <x v="2"/>
    <x v="55"/>
    <x v="53"/>
    <x v="2"/>
    <x v="29"/>
    <x v="21"/>
    <x v="94"/>
    <x v="0"/>
    <x v="4"/>
    <x v="1"/>
    <x v="7"/>
    <x v="3"/>
  </r>
  <r>
    <x v="218"/>
    <x v="11"/>
    <x v="34"/>
    <x v="8"/>
    <x v="22"/>
    <x v="19"/>
    <x v="2"/>
    <x v="81"/>
    <x v="6"/>
    <x v="144"/>
    <x v="0"/>
    <x v="5"/>
    <x v="1"/>
    <x v="0"/>
    <x v="7"/>
  </r>
  <r>
    <x v="219"/>
    <x v="11"/>
    <x v="36"/>
    <x v="4"/>
    <x v="17"/>
    <x v="21"/>
    <x v="1"/>
    <x v="69"/>
    <x v="4"/>
    <x v="134"/>
    <x v="0"/>
    <x v="4"/>
    <x v="1"/>
    <x v="8"/>
    <x v="3"/>
  </r>
  <r>
    <x v="220"/>
    <x v="82"/>
    <x v="202"/>
    <x v="0"/>
    <x v="47"/>
    <x v="33"/>
    <x v="0"/>
    <x v="25"/>
    <x v="35"/>
    <x v="138"/>
    <x v="3"/>
    <x v="1"/>
    <x v="1"/>
    <x v="5"/>
    <x v="6"/>
  </r>
  <r>
    <x v="221"/>
    <x v="14"/>
    <x v="96"/>
    <x v="3"/>
    <x v="29"/>
    <x v="52"/>
    <x v="0"/>
    <x v="115"/>
    <x v="23"/>
    <x v="116"/>
    <x v="1"/>
    <x v="2"/>
    <x v="1"/>
    <x v="4"/>
    <x v="2"/>
  </r>
  <r>
    <x v="222"/>
    <x v="10"/>
    <x v="203"/>
    <x v="3"/>
    <x v="40"/>
    <x v="52"/>
    <x v="1"/>
    <x v="12"/>
    <x v="22"/>
    <x v="100"/>
    <x v="1"/>
    <x v="2"/>
    <x v="1"/>
    <x v="0"/>
    <x v="4"/>
  </r>
  <r>
    <x v="223"/>
    <x v="3"/>
    <x v="204"/>
    <x v="8"/>
    <x v="64"/>
    <x v="45"/>
    <x v="1"/>
    <x v="39"/>
    <x v="13"/>
    <x v="167"/>
    <x v="4"/>
    <x v="5"/>
    <x v="1"/>
    <x v="0"/>
    <x v="3"/>
  </r>
  <r>
    <x v="224"/>
    <x v="41"/>
    <x v="205"/>
    <x v="2"/>
    <x v="70"/>
    <x v="53"/>
    <x v="4"/>
    <x v="23"/>
    <x v="8"/>
    <x v="82"/>
    <x v="0"/>
    <x v="1"/>
    <x v="1"/>
    <x v="7"/>
    <x v="3"/>
  </r>
  <r>
    <x v="225"/>
    <x v="12"/>
    <x v="206"/>
    <x v="8"/>
    <x v="57"/>
    <x v="36"/>
    <x v="1"/>
    <x v="80"/>
    <x v="18"/>
    <x v="168"/>
    <x v="0"/>
    <x v="5"/>
    <x v="1"/>
    <x v="5"/>
    <x v="0"/>
  </r>
  <r>
    <x v="226"/>
    <x v="67"/>
    <x v="207"/>
    <x v="5"/>
    <x v="68"/>
    <x v="66"/>
    <x v="0"/>
    <x v="28"/>
    <x v="43"/>
    <x v="107"/>
    <x v="0"/>
    <x v="6"/>
    <x v="1"/>
    <x v="7"/>
    <x v="0"/>
  </r>
  <r>
    <x v="227"/>
    <x v="31"/>
    <x v="208"/>
    <x v="0"/>
    <x v="51"/>
    <x v="33"/>
    <x v="2"/>
    <x v="116"/>
    <x v="47"/>
    <x v="169"/>
    <x v="0"/>
    <x v="1"/>
    <x v="1"/>
    <x v="4"/>
    <x v="5"/>
  </r>
  <r>
    <x v="228"/>
    <x v="27"/>
    <x v="209"/>
    <x v="0"/>
    <x v="11"/>
    <x v="0"/>
    <x v="2"/>
    <x v="117"/>
    <x v="42"/>
    <x v="163"/>
    <x v="0"/>
    <x v="0"/>
    <x v="0"/>
    <x v="2"/>
    <x v="0"/>
  </r>
  <r>
    <x v="229"/>
    <x v="83"/>
    <x v="210"/>
    <x v="2"/>
    <x v="8"/>
    <x v="67"/>
    <x v="4"/>
    <x v="58"/>
    <x v="37"/>
    <x v="170"/>
    <x v="0"/>
    <x v="0"/>
    <x v="0"/>
    <x v="5"/>
    <x v="1"/>
  </r>
  <r>
    <x v="230"/>
    <x v="30"/>
    <x v="211"/>
    <x v="1"/>
    <x v="59"/>
    <x v="37"/>
    <x v="1"/>
    <x v="5"/>
    <x v="5"/>
    <x v="171"/>
    <x v="0"/>
    <x v="4"/>
    <x v="1"/>
    <x v="7"/>
    <x v="4"/>
  </r>
  <r>
    <x v="231"/>
    <x v="51"/>
    <x v="212"/>
    <x v="6"/>
    <x v="35"/>
    <x v="64"/>
    <x v="2"/>
    <x v="99"/>
    <x v="33"/>
    <x v="172"/>
    <x v="0"/>
    <x v="6"/>
    <x v="1"/>
    <x v="3"/>
    <x v="3"/>
  </r>
  <r>
    <x v="232"/>
    <x v="27"/>
    <x v="213"/>
    <x v="6"/>
    <x v="9"/>
    <x v="65"/>
    <x v="0"/>
    <x v="17"/>
    <x v="10"/>
    <x v="173"/>
    <x v="1"/>
    <x v="6"/>
    <x v="1"/>
    <x v="7"/>
    <x v="3"/>
  </r>
  <r>
    <x v="233"/>
    <x v="29"/>
    <x v="214"/>
    <x v="1"/>
    <x v="59"/>
    <x v="37"/>
    <x v="3"/>
    <x v="28"/>
    <x v="21"/>
    <x v="122"/>
    <x v="3"/>
    <x v="6"/>
    <x v="1"/>
    <x v="4"/>
    <x v="2"/>
  </r>
  <r>
    <x v="234"/>
    <x v="43"/>
    <x v="215"/>
    <x v="1"/>
    <x v="59"/>
    <x v="37"/>
    <x v="4"/>
    <x v="114"/>
    <x v="2"/>
    <x v="134"/>
    <x v="3"/>
    <x v="6"/>
    <x v="1"/>
    <x v="5"/>
    <x v="0"/>
  </r>
  <r>
    <x v="235"/>
    <x v="59"/>
    <x v="216"/>
    <x v="7"/>
    <x v="67"/>
    <x v="24"/>
    <x v="3"/>
    <x v="81"/>
    <x v="29"/>
    <x v="111"/>
    <x v="3"/>
    <x v="4"/>
    <x v="1"/>
    <x v="8"/>
    <x v="2"/>
  </r>
  <r>
    <x v="236"/>
    <x v="71"/>
    <x v="173"/>
    <x v="3"/>
    <x v="29"/>
    <x v="23"/>
    <x v="3"/>
    <x v="100"/>
    <x v="2"/>
    <x v="174"/>
    <x v="3"/>
    <x v="1"/>
    <x v="1"/>
    <x v="5"/>
    <x v="3"/>
  </r>
  <r>
    <x v="237"/>
    <x v="53"/>
    <x v="134"/>
    <x v="7"/>
    <x v="58"/>
    <x v="11"/>
    <x v="0"/>
    <x v="111"/>
    <x v="4"/>
    <x v="175"/>
    <x v="0"/>
    <x v="1"/>
    <x v="1"/>
    <x v="0"/>
    <x v="0"/>
  </r>
  <r>
    <x v="238"/>
    <x v="40"/>
    <x v="217"/>
    <x v="6"/>
    <x v="18"/>
    <x v="56"/>
    <x v="1"/>
    <x v="49"/>
    <x v="30"/>
    <x v="176"/>
    <x v="0"/>
    <x v="3"/>
    <x v="0"/>
    <x v="1"/>
    <x v="0"/>
  </r>
  <r>
    <x v="239"/>
    <x v="64"/>
    <x v="218"/>
    <x v="3"/>
    <x v="24"/>
    <x v="9"/>
    <x v="2"/>
    <x v="118"/>
    <x v="32"/>
    <x v="177"/>
    <x v="0"/>
    <x v="4"/>
    <x v="1"/>
    <x v="1"/>
    <x v="2"/>
  </r>
  <r>
    <x v="240"/>
    <x v="55"/>
    <x v="219"/>
    <x v="0"/>
    <x v="13"/>
    <x v="22"/>
    <x v="0"/>
    <x v="55"/>
    <x v="48"/>
    <x v="178"/>
    <x v="1"/>
    <x v="5"/>
    <x v="1"/>
    <x v="0"/>
    <x v="4"/>
  </r>
  <r>
    <x v="241"/>
    <x v="45"/>
    <x v="205"/>
    <x v="3"/>
    <x v="4"/>
    <x v="4"/>
    <x v="1"/>
    <x v="119"/>
    <x v="37"/>
    <x v="79"/>
    <x v="0"/>
    <x v="1"/>
    <x v="1"/>
    <x v="0"/>
    <x v="2"/>
  </r>
  <r>
    <x v="242"/>
    <x v="3"/>
    <x v="220"/>
    <x v="7"/>
    <x v="63"/>
    <x v="54"/>
    <x v="0"/>
    <x v="0"/>
    <x v="5"/>
    <x v="179"/>
    <x v="0"/>
    <x v="4"/>
    <x v="1"/>
    <x v="2"/>
    <x v="3"/>
  </r>
  <r>
    <x v="243"/>
    <x v="50"/>
    <x v="221"/>
    <x v="3"/>
    <x v="10"/>
    <x v="52"/>
    <x v="1"/>
    <x v="14"/>
    <x v="21"/>
    <x v="180"/>
    <x v="3"/>
    <x v="4"/>
    <x v="1"/>
    <x v="5"/>
    <x v="6"/>
  </r>
  <r>
    <x v="244"/>
    <x v="6"/>
    <x v="222"/>
    <x v="8"/>
    <x v="54"/>
    <x v="44"/>
    <x v="4"/>
    <x v="52"/>
    <x v="37"/>
    <x v="170"/>
    <x v="0"/>
    <x v="6"/>
    <x v="1"/>
    <x v="3"/>
    <x v="5"/>
  </r>
  <r>
    <x v="245"/>
    <x v="53"/>
    <x v="223"/>
    <x v="0"/>
    <x v="36"/>
    <x v="14"/>
    <x v="0"/>
    <x v="68"/>
    <x v="0"/>
    <x v="18"/>
    <x v="3"/>
    <x v="4"/>
    <x v="1"/>
    <x v="7"/>
    <x v="2"/>
  </r>
  <r>
    <x v="246"/>
    <x v="14"/>
    <x v="76"/>
    <x v="7"/>
    <x v="69"/>
    <x v="55"/>
    <x v="4"/>
    <x v="111"/>
    <x v="24"/>
    <x v="181"/>
    <x v="1"/>
    <x v="1"/>
    <x v="1"/>
    <x v="10"/>
    <x v="4"/>
  </r>
  <r>
    <x v="247"/>
    <x v="82"/>
    <x v="224"/>
    <x v="2"/>
    <x v="8"/>
    <x v="67"/>
    <x v="5"/>
    <x v="77"/>
    <x v="32"/>
    <x v="182"/>
    <x v="4"/>
    <x v="4"/>
    <x v="1"/>
    <x v="7"/>
    <x v="2"/>
  </r>
  <r>
    <x v="248"/>
    <x v="28"/>
    <x v="225"/>
    <x v="3"/>
    <x v="40"/>
    <x v="52"/>
    <x v="4"/>
    <x v="52"/>
    <x v="4"/>
    <x v="45"/>
    <x v="0"/>
    <x v="6"/>
    <x v="1"/>
    <x v="8"/>
    <x v="6"/>
  </r>
  <r>
    <x v="249"/>
    <x v="84"/>
    <x v="226"/>
    <x v="0"/>
    <x v="19"/>
    <x v="49"/>
    <x v="0"/>
    <x v="120"/>
    <x v="49"/>
    <x v="183"/>
    <x v="3"/>
    <x v="2"/>
    <x v="1"/>
    <x v="7"/>
    <x v="3"/>
  </r>
  <r>
    <x v="250"/>
    <x v="59"/>
    <x v="227"/>
    <x v="3"/>
    <x v="40"/>
    <x v="35"/>
    <x v="2"/>
    <x v="35"/>
    <x v="36"/>
    <x v="184"/>
    <x v="1"/>
    <x v="5"/>
    <x v="1"/>
    <x v="5"/>
    <x v="2"/>
  </r>
  <r>
    <x v="251"/>
    <x v="85"/>
    <x v="224"/>
    <x v="1"/>
    <x v="49"/>
    <x v="68"/>
    <x v="3"/>
    <x v="121"/>
    <x v="25"/>
    <x v="104"/>
    <x v="3"/>
    <x v="4"/>
    <x v="1"/>
    <x v="0"/>
    <x v="5"/>
  </r>
  <r>
    <x v="252"/>
    <x v="39"/>
    <x v="228"/>
    <x v="8"/>
    <x v="52"/>
    <x v="44"/>
    <x v="4"/>
    <x v="8"/>
    <x v="13"/>
    <x v="160"/>
    <x v="0"/>
    <x v="1"/>
    <x v="1"/>
    <x v="8"/>
    <x v="4"/>
  </r>
  <r>
    <x v="253"/>
    <x v="10"/>
    <x v="229"/>
    <x v="8"/>
    <x v="57"/>
    <x v="19"/>
    <x v="5"/>
    <x v="122"/>
    <x v="40"/>
    <x v="185"/>
    <x v="0"/>
    <x v="1"/>
    <x v="1"/>
    <x v="3"/>
    <x v="5"/>
  </r>
  <r>
    <x v="254"/>
    <x v="46"/>
    <x v="117"/>
    <x v="8"/>
    <x v="57"/>
    <x v="39"/>
    <x v="2"/>
    <x v="63"/>
    <x v="5"/>
    <x v="186"/>
    <x v="0"/>
    <x v="4"/>
    <x v="1"/>
    <x v="1"/>
    <x v="2"/>
  </r>
  <r>
    <x v="255"/>
    <x v="70"/>
    <x v="228"/>
    <x v="3"/>
    <x v="24"/>
    <x v="9"/>
    <x v="4"/>
    <x v="28"/>
    <x v="0"/>
    <x v="156"/>
    <x v="2"/>
    <x v="1"/>
    <x v="1"/>
    <x v="2"/>
    <x v="0"/>
  </r>
  <r>
    <x v="256"/>
    <x v="20"/>
    <x v="230"/>
    <x v="4"/>
    <x v="42"/>
    <x v="25"/>
    <x v="5"/>
    <x v="123"/>
    <x v="1"/>
    <x v="187"/>
    <x v="0"/>
    <x v="5"/>
    <x v="1"/>
    <x v="7"/>
    <x v="0"/>
  </r>
  <r>
    <x v="257"/>
    <x v="7"/>
    <x v="231"/>
    <x v="3"/>
    <x v="29"/>
    <x v="23"/>
    <x v="0"/>
    <x v="103"/>
    <x v="19"/>
    <x v="175"/>
    <x v="3"/>
    <x v="1"/>
    <x v="1"/>
    <x v="5"/>
    <x v="3"/>
  </r>
  <r>
    <x v="258"/>
    <x v="75"/>
    <x v="185"/>
    <x v="7"/>
    <x v="67"/>
    <x v="40"/>
    <x v="2"/>
    <x v="124"/>
    <x v="36"/>
    <x v="188"/>
    <x v="3"/>
    <x v="5"/>
    <x v="1"/>
    <x v="8"/>
    <x v="0"/>
  </r>
  <r>
    <x v="259"/>
    <x v="9"/>
    <x v="232"/>
    <x v="4"/>
    <x v="26"/>
    <x v="26"/>
    <x v="1"/>
    <x v="118"/>
    <x v="29"/>
    <x v="18"/>
    <x v="3"/>
    <x v="0"/>
    <x v="0"/>
    <x v="7"/>
    <x v="0"/>
  </r>
  <r>
    <x v="260"/>
    <x v="40"/>
    <x v="233"/>
    <x v="7"/>
    <x v="50"/>
    <x v="11"/>
    <x v="3"/>
    <x v="36"/>
    <x v="21"/>
    <x v="51"/>
    <x v="0"/>
    <x v="1"/>
    <x v="1"/>
    <x v="2"/>
    <x v="2"/>
  </r>
  <r>
    <x v="261"/>
    <x v="47"/>
    <x v="234"/>
    <x v="8"/>
    <x v="38"/>
    <x v="44"/>
    <x v="2"/>
    <x v="125"/>
    <x v="50"/>
    <x v="189"/>
    <x v="0"/>
    <x v="2"/>
    <x v="1"/>
    <x v="1"/>
    <x v="2"/>
  </r>
  <r>
    <x v="262"/>
    <x v="37"/>
    <x v="235"/>
    <x v="1"/>
    <x v="37"/>
    <x v="2"/>
    <x v="1"/>
    <x v="78"/>
    <x v="1"/>
    <x v="42"/>
    <x v="1"/>
    <x v="6"/>
    <x v="1"/>
    <x v="2"/>
    <x v="4"/>
  </r>
  <r>
    <x v="263"/>
    <x v="62"/>
    <x v="236"/>
    <x v="5"/>
    <x v="41"/>
    <x v="66"/>
    <x v="4"/>
    <x v="66"/>
    <x v="22"/>
    <x v="63"/>
    <x v="3"/>
    <x v="6"/>
    <x v="1"/>
    <x v="3"/>
    <x v="4"/>
  </r>
  <r>
    <x v="264"/>
    <x v="1"/>
    <x v="237"/>
    <x v="5"/>
    <x v="53"/>
    <x v="16"/>
    <x v="1"/>
    <x v="17"/>
    <x v="38"/>
    <x v="179"/>
    <x v="0"/>
    <x v="4"/>
    <x v="1"/>
    <x v="4"/>
    <x v="0"/>
  </r>
  <r>
    <x v="265"/>
    <x v="62"/>
    <x v="238"/>
    <x v="1"/>
    <x v="46"/>
    <x v="27"/>
    <x v="0"/>
    <x v="94"/>
    <x v="32"/>
    <x v="23"/>
    <x v="0"/>
    <x v="0"/>
    <x v="0"/>
    <x v="8"/>
    <x v="5"/>
  </r>
  <r>
    <x v="266"/>
    <x v="13"/>
    <x v="239"/>
    <x v="1"/>
    <x v="59"/>
    <x v="18"/>
    <x v="2"/>
    <x v="62"/>
    <x v="43"/>
    <x v="29"/>
    <x v="1"/>
    <x v="1"/>
    <x v="1"/>
    <x v="1"/>
    <x v="3"/>
  </r>
  <r>
    <x v="267"/>
    <x v="7"/>
    <x v="240"/>
    <x v="3"/>
    <x v="4"/>
    <x v="12"/>
    <x v="1"/>
    <x v="58"/>
    <x v="4"/>
    <x v="190"/>
    <x v="1"/>
    <x v="6"/>
    <x v="1"/>
    <x v="10"/>
    <x v="0"/>
  </r>
  <r>
    <x v="268"/>
    <x v="84"/>
    <x v="241"/>
    <x v="3"/>
    <x v="29"/>
    <x v="52"/>
    <x v="1"/>
    <x v="1"/>
    <x v="1"/>
    <x v="191"/>
    <x v="0"/>
    <x v="2"/>
    <x v="1"/>
    <x v="10"/>
    <x v="0"/>
  </r>
  <r>
    <x v="269"/>
    <x v="42"/>
    <x v="242"/>
    <x v="2"/>
    <x v="66"/>
    <x v="31"/>
    <x v="1"/>
    <x v="19"/>
    <x v="38"/>
    <x v="98"/>
    <x v="1"/>
    <x v="5"/>
    <x v="1"/>
    <x v="2"/>
    <x v="1"/>
  </r>
  <r>
    <x v="270"/>
    <x v="38"/>
    <x v="243"/>
    <x v="3"/>
    <x v="4"/>
    <x v="35"/>
    <x v="3"/>
    <x v="126"/>
    <x v="6"/>
    <x v="192"/>
    <x v="0"/>
    <x v="4"/>
    <x v="1"/>
    <x v="4"/>
    <x v="2"/>
  </r>
  <r>
    <x v="271"/>
    <x v="12"/>
    <x v="195"/>
    <x v="6"/>
    <x v="43"/>
    <x v="8"/>
    <x v="1"/>
    <x v="83"/>
    <x v="24"/>
    <x v="193"/>
    <x v="0"/>
    <x v="4"/>
    <x v="1"/>
    <x v="7"/>
    <x v="3"/>
  </r>
  <r>
    <x v="272"/>
    <x v="86"/>
    <x v="244"/>
    <x v="0"/>
    <x v="47"/>
    <x v="49"/>
    <x v="1"/>
    <x v="2"/>
    <x v="30"/>
    <x v="23"/>
    <x v="0"/>
    <x v="5"/>
    <x v="1"/>
    <x v="0"/>
    <x v="3"/>
  </r>
  <r>
    <x v="273"/>
    <x v="27"/>
    <x v="245"/>
    <x v="1"/>
    <x v="59"/>
    <x v="46"/>
    <x v="5"/>
    <x v="60"/>
    <x v="0"/>
    <x v="174"/>
    <x v="3"/>
    <x v="7"/>
    <x v="0"/>
    <x v="1"/>
    <x v="0"/>
  </r>
  <r>
    <x v="274"/>
    <x v="83"/>
    <x v="246"/>
    <x v="4"/>
    <x v="26"/>
    <x v="26"/>
    <x v="1"/>
    <x v="7"/>
    <x v="19"/>
    <x v="99"/>
    <x v="3"/>
    <x v="3"/>
    <x v="0"/>
    <x v="3"/>
    <x v="7"/>
  </r>
  <r>
    <x v="275"/>
    <x v="72"/>
    <x v="192"/>
    <x v="4"/>
    <x v="26"/>
    <x v="21"/>
    <x v="1"/>
    <x v="127"/>
    <x v="6"/>
    <x v="36"/>
    <x v="3"/>
    <x v="5"/>
    <x v="1"/>
    <x v="7"/>
    <x v="2"/>
  </r>
  <r>
    <x v="276"/>
    <x v="28"/>
    <x v="247"/>
    <x v="3"/>
    <x v="10"/>
    <x v="23"/>
    <x v="1"/>
    <x v="128"/>
    <x v="48"/>
    <x v="143"/>
    <x v="0"/>
    <x v="3"/>
    <x v="0"/>
    <x v="3"/>
    <x v="6"/>
  </r>
  <r>
    <x v="277"/>
    <x v="60"/>
    <x v="95"/>
    <x v="0"/>
    <x v="19"/>
    <x v="33"/>
    <x v="1"/>
    <x v="106"/>
    <x v="11"/>
    <x v="166"/>
    <x v="0"/>
    <x v="5"/>
    <x v="1"/>
    <x v="0"/>
    <x v="4"/>
  </r>
  <r>
    <x v="278"/>
    <x v="62"/>
    <x v="80"/>
    <x v="3"/>
    <x v="4"/>
    <x v="4"/>
    <x v="5"/>
    <x v="24"/>
    <x v="42"/>
    <x v="194"/>
    <x v="3"/>
    <x v="7"/>
    <x v="0"/>
    <x v="3"/>
    <x v="4"/>
  </r>
  <r>
    <x v="279"/>
    <x v="84"/>
    <x v="248"/>
    <x v="7"/>
    <x v="63"/>
    <x v="40"/>
    <x v="5"/>
    <x v="10"/>
    <x v="5"/>
    <x v="195"/>
    <x v="3"/>
    <x v="1"/>
    <x v="1"/>
    <x v="0"/>
    <x v="2"/>
  </r>
  <r>
    <x v="280"/>
    <x v="59"/>
    <x v="249"/>
    <x v="4"/>
    <x v="15"/>
    <x v="17"/>
    <x v="1"/>
    <x v="18"/>
    <x v="0"/>
    <x v="49"/>
    <x v="0"/>
    <x v="1"/>
    <x v="1"/>
    <x v="7"/>
    <x v="3"/>
  </r>
  <r>
    <x v="281"/>
    <x v="16"/>
    <x v="250"/>
    <x v="4"/>
    <x v="26"/>
    <x v="26"/>
    <x v="1"/>
    <x v="83"/>
    <x v="5"/>
    <x v="141"/>
    <x v="1"/>
    <x v="2"/>
    <x v="1"/>
    <x v="0"/>
    <x v="4"/>
  </r>
  <r>
    <x v="282"/>
    <x v="71"/>
    <x v="251"/>
    <x v="8"/>
    <x v="38"/>
    <x v="19"/>
    <x v="4"/>
    <x v="21"/>
    <x v="43"/>
    <x v="74"/>
    <x v="0"/>
    <x v="3"/>
    <x v="0"/>
    <x v="8"/>
    <x v="5"/>
  </r>
  <r>
    <x v="283"/>
    <x v="12"/>
    <x v="252"/>
    <x v="0"/>
    <x v="65"/>
    <x v="49"/>
    <x v="5"/>
    <x v="40"/>
    <x v="37"/>
    <x v="196"/>
    <x v="0"/>
    <x v="2"/>
    <x v="1"/>
    <x v="0"/>
    <x v="6"/>
  </r>
  <r>
    <x v="284"/>
    <x v="29"/>
    <x v="253"/>
    <x v="1"/>
    <x v="46"/>
    <x v="68"/>
    <x v="1"/>
    <x v="94"/>
    <x v="29"/>
    <x v="197"/>
    <x v="0"/>
    <x v="4"/>
    <x v="1"/>
    <x v="5"/>
    <x v="3"/>
  </r>
  <r>
    <x v="285"/>
    <x v="80"/>
    <x v="254"/>
    <x v="0"/>
    <x v="13"/>
    <x v="22"/>
    <x v="5"/>
    <x v="105"/>
    <x v="8"/>
    <x v="198"/>
    <x v="1"/>
    <x v="7"/>
    <x v="0"/>
    <x v="7"/>
    <x v="0"/>
  </r>
  <r>
    <x v="286"/>
    <x v="64"/>
    <x v="255"/>
    <x v="3"/>
    <x v="4"/>
    <x v="9"/>
    <x v="1"/>
    <x v="57"/>
    <x v="5"/>
    <x v="115"/>
    <x v="3"/>
    <x v="6"/>
    <x v="1"/>
    <x v="7"/>
    <x v="0"/>
  </r>
  <r>
    <x v="287"/>
    <x v="59"/>
    <x v="256"/>
    <x v="1"/>
    <x v="59"/>
    <x v="46"/>
    <x v="1"/>
    <x v="103"/>
    <x v="21"/>
    <x v="170"/>
    <x v="0"/>
    <x v="6"/>
    <x v="1"/>
    <x v="8"/>
    <x v="0"/>
  </r>
  <r>
    <x v="288"/>
    <x v="63"/>
    <x v="257"/>
    <x v="3"/>
    <x v="24"/>
    <x v="52"/>
    <x v="1"/>
    <x v="129"/>
    <x v="11"/>
    <x v="199"/>
    <x v="0"/>
    <x v="2"/>
    <x v="1"/>
    <x v="1"/>
    <x v="1"/>
  </r>
  <r>
    <x v="289"/>
    <x v="20"/>
    <x v="258"/>
    <x v="4"/>
    <x v="5"/>
    <x v="21"/>
    <x v="3"/>
    <x v="17"/>
    <x v="15"/>
    <x v="200"/>
    <x v="1"/>
    <x v="4"/>
    <x v="1"/>
    <x v="1"/>
    <x v="4"/>
  </r>
  <r>
    <x v="290"/>
    <x v="50"/>
    <x v="259"/>
    <x v="3"/>
    <x v="40"/>
    <x v="35"/>
    <x v="4"/>
    <x v="45"/>
    <x v="7"/>
    <x v="15"/>
    <x v="1"/>
    <x v="2"/>
    <x v="1"/>
    <x v="10"/>
    <x v="2"/>
  </r>
  <r>
    <x v="291"/>
    <x v="62"/>
    <x v="260"/>
    <x v="5"/>
    <x v="71"/>
    <x v="30"/>
    <x v="1"/>
    <x v="130"/>
    <x v="0"/>
    <x v="171"/>
    <x v="0"/>
    <x v="6"/>
    <x v="1"/>
    <x v="3"/>
    <x v="5"/>
  </r>
  <r>
    <x v="292"/>
    <x v="44"/>
    <x v="261"/>
    <x v="5"/>
    <x v="53"/>
    <x v="16"/>
    <x v="1"/>
    <x v="46"/>
    <x v="24"/>
    <x v="149"/>
    <x v="2"/>
    <x v="3"/>
    <x v="0"/>
    <x v="3"/>
    <x v="0"/>
  </r>
  <r>
    <x v="293"/>
    <x v="13"/>
    <x v="182"/>
    <x v="4"/>
    <x v="5"/>
    <x v="21"/>
    <x v="2"/>
    <x v="131"/>
    <x v="44"/>
    <x v="201"/>
    <x v="3"/>
    <x v="6"/>
    <x v="1"/>
    <x v="3"/>
    <x v="4"/>
  </r>
  <r>
    <x v="294"/>
    <x v="21"/>
    <x v="262"/>
    <x v="5"/>
    <x v="32"/>
    <x v="43"/>
    <x v="1"/>
    <x v="76"/>
    <x v="23"/>
    <x v="35"/>
    <x v="0"/>
    <x v="2"/>
    <x v="1"/>
    <x v="0"/>
    <x v="1"/>
  </r>
  <r>
    <x v="295"/>
    <x v="45"/>
    <x v="263"/>
    <x v="3"/>
    <x v="14"/>
    <x v="28"/>
    <x v="4"/>
    <x v="132"/>
    <x v="12"/>
    <x v="200"/>
    <x v="5"/>
    <x v="1"/>
    <x v="1"/>
    <x v="3"/>
    <x v="0"/>
  </r>
  <r>
    <x v="296"/>
    <x v="34"/>
    <x v="264"/>
    <x v="3"/>
    <x v="24"/>
    <x v="23"/>
    <x v="2"/>
    <x v="19"/>
    <x v="8"/>
    <x v="202"/>
    <x v="0"/>
    <x v="6"/>
    <x v="1"/>
    <x v="9"/>
    <x v="2"/>
  </r>
  <r>
    <x v="297"/>
    <x v="85"/>
    <x v="250"/>
    <x v="1"/>
    <x v="59"/>
    <x v="37"/>
    <x v="0"/>
    <x v="47"/>
    <x v="22"/>
    <x v="59"/>
    <x v="2"/>
    <x v="2"/>
    <x v="1"/>
    <x v="1"/>
    <x v="3"/>
  </r>
  <r>
    <x v="298"/>
    <x v="44"/>
    <x v="265"/>
    <x v="2"/>
    <x v="30"/>
    <x v="69"/>
    <x v="4"/>
    <x v="63"/>
    <x v="22"/>
    <x v="203"/>
    <x v="0"/>
    <x v="3"/>
    <x v="0"/>
    <x v="1"/>
    <x v="2"/>
  </r>
  <r>
    <x v="299"/>
    <x v="76"/>
    <x v="266"/>
    <x v="6"/>
    <x v="35"/>
    <x v="34"/>
    <x v="3"/>
    <x v="133"/>
    <x v="24"/>
    <x v="89"/>
    <x v="1"/>
    <x v="1"/>
    <x v="1"/>
    <x v="10"/>
    <x v="4"/>
  </r>
  <r>
    <x v="300"/>
    <x v="70"/>
    <x v="267"/>
    <x v="5"/>
    <x v="71"/>
    <x v="61"/>
    <x v="1"/>
    <x v="33"/>
    <x v="7"/>
    <x v="204"/>
    <x v="0"/>
    <x v="4"/>
    <x v="1"/>
    <x v="0"/>
    <x v="5"/>
  </r>
  <r>
    <x v="301"/>
    <x v="75"/>
    <x v="268"/>
    <x v="2"/>
    <x v="61"/>
    <x v="31"/>
    <x v="1"/>
    <x v="35"/>
    <x v="43"/>
    <x v="39"/>
    <x v="0"/>
    <x v="2"/>
    <x v="1"/>
    <x v="3"/>
    <x v="0"/>
  </r>
  <r>
    <x v="302"/>
    <x v="28"/>
    <x v="269"/>
    <x v="2"/>
    <x v="66"/>
    <x v="53"/>
    <x v="4"/>
    <x v="134"/>
    <x v="4"/>
    <x v="95"/>
    <x v="2"/>
    <x v="6"/>
    <x v="1"/>
    <x v="3"/>
    <x v="0"/>
  </r>
  <r>
    <x v="303"/>
    <x v="38"/>
    <x v="270"/>
    <x v="0"/>
    <x v="36"/>
    <x v="33"/>
    <x v="1"/>
    <x v="89"/>
    <x v="15"/>
    <x v="205"/>
    <x v="3"/>
    <x v="1"/>
    <x v="1"/>
    <x v="2"/>
    <x v="5"/>
  </r>
  <r>
    <x v="304"/>
    <x v="28"/>
    <x v="271"/>
    <x v="0"/>
    <x v="0"/>
    <x v="22"/>
    <x v="3"/>
    <x v="135"/>
    <x v="51"/>
    <x v="206"/>
    <x v="3"/>
    <x v="4"/>
    <x v="1"/>
    <x v="2"/>
    <x v="1"/>
  </r>
  <r>
    <x v="305"/>
    <x v="7"/>
    <x v="272"/>
    <x v="2"/>
    <x v="8"/>
    <x v="3"/>
    <x v="1"/>
    <x v="88"/>
    <x v="38"/>
    <x v="207"/>
    <x v="1"/>
    <x v="2"/>
    <x v="1"/>
    <x v="5"/>
    <x v="5"/>
  </r>
  <r>
    <x v="306"/>
    <x v="17"/>
    <x v="273"/>
    <x v="1"/>
    <x v="2"/>
    <x v="68"/>
    <x v="4"/>
    <x v="134"/>
    <x v="7"/>
    <x v="208"/>
    <x v="3"/>
    <x v="5"/>
    <x v="1"/>
    <x v="0"/>
    <x v="2"/>
  </r>
  <r>
    <x v="307"/>
    <x v="52"/>
    <x v="274"/>
    <x v="7"/>
    <x v="16"/>
    <x v="11"/>
    <x v="1"/>
    <x v="136"/>
    <x v="12"/>
    <x v="2"/>
    <x v="1"/>
    <x v="6"/>
    <x v="1"/>
    <x v="0"/>
    <x v="3"/>
  </r>
  <r>
    <x v="308"/>
    <x v="9"/>
    <x v="275"/>
    <x v="3"/>
    <x v="29"/>
    <x v="23"/>
    <x v="1"/>
    <x v="73"/>
    <x v="37"/>
    <x v="209"/>
    <x v="0"/>
    <x v="6"/>
    <x v="1"/>
    <x v="7"/>
    <x v="0"/>
  </r>
  <r>
    <x v="309"/>
    <x v="74"/>
    <x v="276"/>
    <x v="7"/>
    <x v="67"/>
    <x v="20"/>
    <x v="1"/>
    <x v="39"/>
    <x v="37"/>
    <x v="210"/>
    <x v="0"/>
    <x v="2"/>
    <x v="1"/>
    <x v="0"/>
    <x v="4"/>
  </r>
  <r>
    <x v="310"/>
    <x v="71"/>
    <x v="277"/>
    <x v="3"/>
    <x v="25"/>
    <x v="32"/>
    <x v="1"/>
    <x v="87"/>
    <x v="24"/>
    <x v="15"/>
    <x v="3"/>
    <x v="6"/>
    <x v="1"/>
    <x v="3"/>
    <x v="3"/>
  </r>
  <r>
    <x v="311"/>
    <x v="57"/>
    <x v="134"/>
    <x v="4"/>
    <x v="5"/>
    <x v="25"/>
    <x v="4"/>
    <x v="44"/>
    <x v="1"/>
    <x v="18"/>
    <x v="3"/>
    <x v="1"/>
    <x v="1"/>
    <x v="5"/>
    <x v="5"/>
  </r>
  <r>
    <x v="312"/>
    <x v="67"/>
    <x v="278"/>
    <x v="0"/>
    <x v="65"/>
    <x v="15"/>
    <x v="4"/>
    <x v="66"/>
    <x v="22"/>
    <x v="211"/>
    <x v="4"/>
    <x v="4"/>
    <x v="1"/>
    <x v="5"/>
    <x v="2"/>
  </r>
  <r>
    <x v="313"/>
    <x v="57"/>
    <x v="279"/>
    <x v="6"/>
    <x v="43"/>
    <x v="41"/>
    <x v="4"/>
    <x v="130"/>
    <x v="24"/>
    <x v="61"/>
    <x v="0"/>
    <x v="2"/>
    <x v="1"/>
    <x v="2"/>
    <x v="0"/>
  </r>
  <r>
    <x v="314"/>
    <x v="85"/>
    <x v="280"/>
    <x v="1"/>
    <x v="59"/>
    <x v="51"/>
    <x v="1"/>
    <x v="102"/>
    <x v="43"/>
    <x v="136"/>
    <x v="0"/>
    <x v="0"/>
    <x v="0"/>
    <x v="5"/>
    <x v="2"/>
  </r>
  <r>
    <x v="315"/>
    <x v="87"/>
    <x v="281"/>
    <x v="3"/>
    <x v="24"/>
    <x v="4"/>
    <x v="4"/>
    <x v="75"/>
    <x v="17"/>
    <x v="212"/>
    <x v="0"/>
    <x v="6"/>
    <x v="1"/>
    <x v="7"/>
    <x v="5"/>
  </r>
  <r>
    <x v="316"/>
    <x v="30"/>
    <x v="282"/>
    <x v="0"/>
    <x v="11"/>
    <x v="33"/>
    <x v="2"/>
    <x v="137"/>
    <x v="46"/>
    <x v="213"/>
    <x v="0"/>
    <x v="2"/>
    <x v="1"/>
    <x v="1"/>
    <x v="4"/>
  </r>
  <r>
    <x v="317"/>
    <x v="75"/>
    <x v="283"/>
    <x v="3"/>
    <x v="24"/>
    <x v="52"/>
    <x v="1"/>
    <x v="138"/>
    <x v="2"/>
    <x v="214"/>
    <x v="2"/>
    <x v="6"/>
    <x v="1"/>
    <x v="0"/>
    <x v="2"/>
  </r>
  <r>
    <x v="318"/>
    <x v="69"/>
    <x v="284"/>
    <x v="5"/>
    <x v="32"/>
    <x v="62"/>
    <x v="0"/>
    <x v="64"/>
    <x v="4"/>
    <x v="56"/>
    <x v="2"/>
    <x v="6"/>
    <x v="1"/>
    <x v="10"/>
    <x v="2"/>
  </r>
  <r>
    <x v="319"/>
    <x v="2"/>
    <x v="155"/>
    <x v="3"/>
    <x v="29"/>
    <x v="35"/>
    <x v="4"/>
    <x v="118"/>
    <x v="32"/>
    <x v="52"/>
    <x v="0"/>
    <x v="1"/>
    <x v="1"/>
    <x v="5"/>
    <x v="3"/>
  </r>
  <r>
    <x v="320"/>
    <x v="64"/>
    <x v="285"/>
    <x v="3"/>
    <x v="29"/>
    <x v="9"/>
    <x v="3"/>
    <x v="13"/>
    <x v="30"/>
    <x v="83"/>
    <x v="0"/>
    <x v="6"/>
    <x v="1"/>
    <x v="10"/>
    <x v="0"/>
  </r>
  <r>
    <x v="321"/>
    <x v="51"/>
    <x v="286"/>
    <x v="3"/>
    <x v="25"/>
    <x v="28"/>
    <x v="1"/>
    <x v="139"/>
    <x v="46"/>
    <x v="215"/>
    <x v="3"/>
    <x v="5"/>
    <x v="1"/>
    <x v="7"/>
    <x v="4"/>
  </r>
  <r>
    <x v="322"/>
    <x v="43"/>
    <x v="287"/>
    <x v="6"/>
    <x v="18"/>
    <x v="41"/>
    <x v="1"/>
    <x v="134"/>
    <x v="22"/>
    <x v="105"/>
    <x v="3"/>
    <x v="1"/>
    <x v="1"/>
    <x v="7"/>
    <x v="0"/>
  </r>
  <r>
    <x v="323"/>
    <x v="65"/>
    <x v="288"/>
    <x v="5"/>
    <x v="6"/>
    <x v="16"/>
    <x v="1"/>
    <x v="50"/>
    <x v="8"/>
    <x v="115"/>
    <x v="0"/>
    <x v="6"/>
    <x v="1"/>
    <x v="1"/>
    <x v="4"/>
  </r>
  <r>
    <x v="324"/>
    <x v="30"/>
    <x v="289"/>
    <x v="6"/>
    <x v="43"/>
    <x v="34"/>
    <x v="3"/>
    <x v="113"/>
    <x v="25"/>
    <x v="186"/>
    <x v="4"/>
    <x v="4"/>
    <x v="1"/>
    <x v="1"/>
    <x v="2"/>
  </r>
  <r>
    <x v="325"/>
    <x v="86"/>
    <x v="290"/>
    <x v="3"/>
    <x v="4"/>
    <x v="4"/>
    <x v="3"/>
    <x v="110"/>
    <x v="32"/>
    <x v="216"/>
    <x v="1"/>
    <x v="5"/>
    <x v="1"/>
    <x v="7"/>
    <x v="4"/>
  </r>
  <r>
    <x v="326"/>
    <x v="14"/>
    <x v="291"/>
    <x v="4"/>
    <x v="26"/>
    <x v="70"/>
    <x v="3"/>
    <x v="140"/>
    <x v="52"/>
    <x v="217"/>
    <x v="0"/>
    <x v="7"/>
    <x v="0"/>
    <x v="8"/>
    <x v="2"/>
  </r>
  <r>
    <x v="327"/>
    <x v="17"/>
    <x v="292"/>
    <x v="6"/>
    <x v="9"/>
    <x v="65"/>
    <x v="1"/>
    <x v="60"/>
    <x v="24"/>
    <x v="53"/>
    <x v="1"/>
    <x v="5"/>
    <x v="1"/>
    <x v="5"/>
    <x v="3"/>
  </r>
  <r>
    <x v="328"/>
    <x v="13"/>
    <x v="136"/>
    <x v="7"/>
    <x v="69"/>
    <x v="54"/>
    <x v="2"/>
    <x v="71"/>
    <x v="11"/>
    <x v="218"/>
    <x v="0"/>
    <x v="5"/>
    <x v="1"/>
    <x v="5"/>
    <x v="2"/>
  </r>
  <r>
    <x v="329"/>
    <x v="45"/>
    <x v="293"/>
    <x v="3"/>
    <x v="45"/>
    <x v="35"/>
    <x v="0"/>
    <x v="64"/>
    <x v="24"/>
    <x v="219"/>
    <x v="0"/>
    <x v="6"/>
    <x v="1"/>
    <x v="2"/>
    <x v="0"/>
  </r>
  <r>
    <x v="330"/>
    <x v="69"/>
    <x v="2"/>
    <x v="2"/>
    <x v="3"/>
    <x v="59"/>
    <x v="1"/>
    <x v="66"/>
    <x v="24"/>
    <x v="220"/>
    <x v="3"/>
    <x v="2"/>
    <x v="1"/>
    <x v="7"/>
    <x v="0"/>
  </r>
  <r>
    <x v="331"/>
    <x v="83"/>
    <x v="294"/>
    <x v="5"/>
    <x v="53"/>
    <x v="16"/>
    <x v="3"/>
    <x v="141"/>
    <x v="53"/>
    <x v="221"/>
    <x v="0"/>
    <x v="2"/>
    <x v="1"/>
    <x v="2"/>
    <x v="4"/>
  </r>
  <r>
    <x v="332"/>
    <x v="66"/>
    <x v="119"/>
    <x v="6"/>
    <x v="35"/>
    <x v="34"/>
    <x v="1"/>
    <x v="113"/>
    <x v="10"/>
    <x v="114"/>
    <x v="3"/>
    <x v="1"/>
    <x v="1"/>
    <x v="8"/>
    <x v="2"/>
  </r>
  <r>
    <x v="333"/>
    <x v="38"/>
    <x v="295"/>
    <x v="2"/>
    <x v="55"/>
    <x v="3"/>
    <x v="1"/>
    <x v="2"/>
    <x v="12"/>
    <x v="222"/>
    <x v="3"/>
    <x v="7"/>
    <x v="0"/>
    <x v="2"/>
    <x v="3"/>
  </r>
  <r>
    <x v="334"/>
    <x v="80"/>
    <x v="296"/>
    <x v="6"/>
    <x v="9"/>
    <x v="41"/>
    <x v="3"/>
    <x v="39"/>
    <x v="30"/>
    <x v="128"/>
    <x v="1"/>
    <x v="2"/>
    <x v="1"/>
    <x v="3"/>
    <x v="0"/>
  </r>
  <r>
    <x v="335"/>
    <x v="52"/>
    <x v="297"/>
    <x v="1"/>
    <x v="49"/>
    <x v="68"/>
    <x v="1"/>
    <x v="33"/>
    <x v="30"/>
    <x v="223"/>
    <x v="0"/>
    <x v="1"/>
    <x v="1"/>
    <x v="3"/>
    <x v="5"/>
  </r>
  <r>
    <x v="336"/>
    <x v="65"/>
    <x v="298"/>
    <x v="6"/>
    <x v="48"/>
    <x v="7"/>
    <x v="1"/>
    <x v="16"/>
    <x v="12"/>
    <x v="224"/>
    <x v="3"/>
    <x v="1"/>
    <x v="1"/>
    <x v="5"/>
    <x v="5"/>
  </r>
  <r>
    <x v="337"/>
    <x v="84"/>
    <x v="248"/>
    <x v="2"/>
    <x v="61"/>
    <x v="31"/>
    <x v="2"/>
    <x v="83"/>
    <x v="21"/>
    <x v="78"/>
    <x v="1"/>
    <x v="1"/>
    <x v="1"/>
    <x v="1"/>
    <x v="4"/>
  </r>
  <r>
    <x v="338"/>
    <x v="26"/>
    <x v="263"/>
    <x v="6"/>
    <x v="27"/>
    <x v="34"/>
    <x v="0"/>
    <x v="45"/>
    <x v="23"/>
    <x v="225"/>
    <x v="0"/>
    <x v="1"/>
    <x v="1"/>
    <x v="2"/>
    <x v="0"/>
  </r>
  <r>
    <x v="339"/>
    <x v="58"/>
    <x v="299"/>
    <x v="6"/>
    <x v="43"/>
    <x v="56"/>
    <x v="1"/>
    <x v="36"/>
    <x v="43"/>
    <x v="226"/>
    <x v="0"/>
    <x v="2"/>
    <x v="1"/>
    <x v="7"/>
    <x v="4"/>
  </r>
  <r>
    <x v="340"/>
    <x v="88"/>
    <x v="300"/>
    <x v="7"/>
    <x v="16"/>
    <x v="40"/>
    <x v="1"/>
    <x v="74"/>
    <x v="24"/>
    <x v="89"/>
    <x v="0"/>
    <x v="2"/>
    <x v="1"/>
    <x v="5"/>
    <x v="3"/>
  </r>
  <r>
    <x v="341"/>
    <x v="10"/>
    <x v="301"/>
    <x v="8"/>
    <x v="57"/>
    <x v="71"/>
    <x v="2"/>
    <x v="29"/>
    <x v="7"/>
    <x v="70"/>
    <x v="0"/>
    <x v="5"/>
    <x v="1"/>
    <x v="5"/>
    <x v="2"/>
  </r>
  <r>
    <x v="342"/>
    <x v="75"/>
    <x v="220"/>
    <x v="3"/>
    <x v="14"/>
    <x v="35"/>
    <x v="1"/>
    <x v="134"/>
    <x v="0"/>
    <x v="227"/>
    <x v="1"/>
    <x v="4"/>
    <x v="1"/>
    <x v="5"/>
    <x v="2"/>
  </r>
  <r>
    <x v="343"/>
    <x v="17"/>
    <x v="302"/>
    <x v="4"/>
    <x v="5"/>
    <x v="70"/>
    <x v="4"/>
    <x v="97"/>
    <x v="6"/>
    <x v="69"/>
    <x v="0"/>
    <x v="7"/>
    <x v="0"/>
    <x v="5"/>
    <x v="3"/>
  </r>
  <r>
    <x v="344"/>
    <x v="14"/>
    <x v="223"/>
    <x v="1"/>
    <x v="2"/>
    <x v="46"/>
    <x v="5"/>
    <x v="142"/>
    <x v="10"/>
    <x v="144"/>
    <x v="0"/>
    <x v="4"/>
    <x v="1"/>
    <x v="1"/>
    <x v="6"/>
  </r>
  <r>
    <x v="345"/>
    <x v="58"/>
    <x v="303"/>
    <x v="4"/>
    <x v="42"/>
    <x v="26"/>
    <x v="3"/>
    <x v="75"/>
    <x v="2"/>
    <x v="216"/>
    <x v="3"/>
    <x v="6"/>
    <x v="1"/>
    <x v="2"/>
    <x v="2"/>
  </r>
  <r>
    <x v="346"/>
    <x v="29"/>
    <x v="304"/>
    <x v="1"/>
    <x v="1"/>
    <x v="46"/>
    <x v="1"/>
    <x v="100"/>
    <x v="17"/>
    <x v="118"/>
    <x v="1"/>
    <x v="2"/>
    <x v="1"/>
    <x v="1"/>
    <x v="0"/>
  </r>
  <r>
    <x v="347"/>
    <x v="64"/>
    <x v="233"/>
    <x v="4"/>
    <x v="28"/>
    <x v="26"/>
    <x v="0"/>
    <x v="64"/>
    <x v="4"/>
    <x v="61"/>
    <x v="0"/>
    <x v="1"/>
    <x v="1"/>
    <x v="8"/>
    <x v="3"/>
  </r>
  <r>
    <x v="348"/>
    <x v="24"/>
    <x v="305"/>
    <x v="5"/>
    <x v="71"/>
    <x v="62"/>
    <x v="0"/>
    <x v="10"/>
    <x v="32"/>
    <x v="228"/>
    <x v="3"/>
    <x v="5"/>
    <x v="1"/>
    <x v="5"/>
    <x v="4"/>
  </r>
  <r>
    <x v="349"/>
    <x v="86"/>
    <x v="306"/>
    <x v="3"/>
    <x v="4"/>
    <x v="9"/>
    <x v="0"/>
    <x v="13"/>
    <x v="43"/>
    <x v="112"/>
    <x v="3"/>
    <x v="1"/>
    <x v="1"/>
    <x v="3"/>
    <x v="2"/>
  </r>
  <r>
    <x v="350"/>
    <x v="31"/>
    <x v="307"/>
    <x v="1"/>
    <x v="2"/>
    <x v="18"/>
    <x v="4"/>
    <x v="143"/>
    <x v="1"/>
    <x v="197"/>
    <x v="3"/>
    <x v="5"/>
    <x v="1"/>
    <x v="3"/>
    <x v="0"/>
  </r>
  <r>
    <x v="351"/>
    <x v="15"/>
    <x v="85"/>
    <x v="1"/>
    <x v="37"/>
    <x v="27"/>
    <x v="1"/>
    <x v="28"/>
    <x v="29"/>
    <x v="229"/>
    <x v="1"/>
    <x v="6"/>
    <x v="1"/>
    <x v="5"/>
    <x v="2"/>
  </r>
  <r>
    <x v="352"/>
    <x v="59"/>
    <x v="308"/>
    <x v="3"/>
    <x v="25"/>
    <x v="12"/>
    <x v="3"/>
    <x v="107"/>
    <x v="13"/>
    <x v="121"/>
    <x v="0"/>
    <x v="1"/>
    <x v="1"/>
    <x v="0"/>
    <x v="0"/>
  </r>
  <r>
    <x v="353"/>
    <x v="45"/>
    <x v="130"/>
    <x v="3"/>
    <x v="25"/>
    <x v="4"/>
    <x v="1"/>
    <x v="113"/>
    <x v="30"/>
    <x v="59"/>
    <x v="0"/>
    <x v="7"/>
    <x v="0"/>
    <x v="7"/>
    <x v="2"/>
  </r>
  <r>
    <x v="354"/>
    <x v="62"/>
    <x v="68"/>
    <x v="4"/>
    <x v="28"/>
    <x v="25"/>
    <x v="4"/>
    <x v="144"/>
    <x v="17"/>
    <x v="230"/>
    <x v="3"/>
    <x v="1"/>
    <x v="1"/>
    <x v="3"/>
    <x v="0"/>
  </r>
  <r>
    <x v="355"/>
    <x v="15"/>
    <x v="26"/>
    <x v="2"/>
    <x v="3"/>
    <x v="67"/>
    <x v="1"/>
    <x v="84"/>
    <x v="2"/>
    <x v="231"/>
    <x v="0"/>
    <x v="2"/>
    <x v="1"/>
    <x v="7"/>
    <x v="0"/>
  </r>
  <r>
    <x v="356"/>
    <x v="50"/>
    <x v="267"/>
    <x v="2"/>
    <x v="70"/>
    <x v="59"/>
    <x v="4"/>
    <x v="26"/>
    <x v="24"/>
    <x v="227"/>
    <x v="2"/>
    <x v="4"/>
    <x v="1"/>
    <x v="7"/>
    <x v="0"/>
  </r>
  <r>
    <x v="357"/>
    <x v="57"/>
    <x v="309"/>
    <x v="2"/>
    <x v="61"/>
    <x v="69"/>
    <x v="1"/>
    <x v="66"/>
    <x v="4"/>
    <x v="146"/>
    <x v="3"/>
    <x v="4"/>
    <x v="1"/>
    <x v="2"/>
    <x v="0"/>
  </r>
  <r>
    <x v="358"/>
    <x v="88"/>
    <x v="310"/>
    <x v="6"/>
    <x v="9"/>
    <x v="8"/>
    <x v="5"/>
    <x v="52"/>
    <x v="37"/>
    <x v="70"/>
    <x v="5"/>
    <x v="5"/>
    <x v="1"/>
    <x v="3"/>
    <x v="6"/>
  </r>
  <r>
    <x v="359"/>
    <x v="82"/>
    <x v="311"/>
    <x v="5"/>
    <x v="68"/>
    <x v="62"/>
    <x v="0"/>
    <x v="14"/>
    <x v="4"/>
    <x v="74"/>
    <x v="0"/>
    <x v="4"/>
    <x v="1"/>
    <x v="1"/>
    <x v="1"/>
  </r>
  <r>
    <x v="360"/>
    <x v="17"/>
    <x v="312"/>
    <x v="0"/>
    <x v="19"/>
    <x v="33"/>
    <x v="3"/>
    <x v="115"/>
    <x v="26"/>
    <x v="232"/>
    <x v="1"/>
    <x v="5"/>
    <x v="1"/>
    <x v="1"/>
    <x v="0"/>
  </r>
  <r>
    <x v="361"/>
    <x v="63"/>
    <x v="45"/>
    <x v="3"/>
    <x v="4"/>
    <x v="32"/>
    <x v="4"/>
    <x v="13"/>
    <x v="13"/>
    <x v="160"/>
    <x v="0"/>
    <x v="6"/>
    <x v="1"/>
    <x v="2"/>
    <x v="3"/>
  </r>
  <r>
    <x v="362"/>
    <x v="55"/>
    <x v="313"/>
    <x v="6"/>
    <x v="7"/>
    <x v="56"/>
    <x v="3"/>
    <x v="76"/>
    <x v="0"/>
    <x v="233"/>
    <x v="0"/>
    <x v="5"/>
    <x v="1"/>
    <x v="1"/>
    <x v="6"/>
  </r>
  <r>
    <x v="363"/>
    <x v="11"/>
    <x v="154"/>
    <x v="6"/>
    <x v="27"/>
    <x v="56"/>
    <x v="0"/>
    <x v="127"/>
    <x v="19"/>
    <x v="234"/>
    <x v="0"/>
    <x v="4"/>
    <x v="1"/>
    <x v="3"/>
    <x v="5"/>
  </r>
  <r>
    <x v="364"/>
    <x v="14"/>
    <x v="314"/>
    <x v="2"/>
    <x v="55"/>
    <x v="31"/>
    <x v="1"/>
    <x v="102"/>
    <x v="6"/>
    <x v="94"/>
    <x v="0"/>
    <x v="3"/>
    <x v="0"/>
    <x v="3"/>
    <x v="4"/>
  </r>
  <r>
    <x v="365"/>
    <x v="53"/>
    <x v="88"/>
    <x v="8"/>
    <x v="64"/>
    <x v="57"/>
    <x v="3"/>
    <x v="145"/>
    <x v="40"/>
    <x v="147"/>
    <x v="0"/>
    <x v="4"/>
    <x v="1"/>
    <x v="3"/>
    <x v="4"/>
  </r>
  <r>
    <x v="366"/>
    <x v="85"/>
    <x v="208"/>
    <x v="7"/>
    <x v="69"/>
    <x v="40"/>
    <x v="4"/>
    <x v="69"/>
    <x v="4"/>
    <x v="28"/>
    <x v="3"/>
    <x v="1"/>
    <x v="1"/>
    <x v="1"/>
    <x v="5"/>
  </r>
  <r>
    <x v="367"/>
    <x v="67"/>
    <x v="315"/>
    <x v="7"/>
    <x v="69"/>
    <x v="40"/>
    <x v="1"/>
    <x v="68"/>
    <x v="0"/>
    <x v="149"/>
    <x v="3"/>
    <x v="6"/>
    <x v="1"/>
    <x v="8"/>
    <x v="0"/>
  </r>
  <r>
    <x v="368"/>
    <x v="30"/>
    <x v="287"/>
    <x v="1"/>
    <x v="21"/>
    <x v="18"/>
    <x v="4"/>
    <x v="26"/>
    <x v="0"/>
    <x v="4"/>
    <x v="0"/>
    <x v="1"/>
    <x v="1"/>
    <x v="3"/>
    <x v="4"/>
  </r>
  <r>
    <x v="369"/>
    <x v="20"/>
    <x v="316"/>
    <x v="4"/>
    <x v="20"/>
    <x v="26"/>
    <x v="0"/>
    <x v="75"/>
    <x v="38"/>
    <x v="235"/>
    <x v="4"/>
    <x v="4"/>
    <x v="1"/>
    <x v="4"/>
    <x v="0"/>
  </r>
  <r>
    <x v="370"/>
    <x v="27"/>
    <x v="317"/>
    <x v="8"/>
    <x v="64"/>
    <x v="19"/>
    <x v="3"/>
    <x v="128"/>
    <x v="14"/>
    <x v="130"/>
    <x v="0"/>
    <x v="6"/>
    <x v="1"/>
    <x v="7"/>
    <x v="2"/>
  </r>
  <r>
    <x v="371"/>
    <x v="84"/>
    <x v="318"/>
    <x v="4"/>
    <x v="5"/>
    <x v="25"/>
    <x v="1"/>
    <x v="95"/>
    <x v="32"/>
    <x v="111"/>
    <x v="1"/>
    <x v="2"/>
    <x v="1"/>
    <x v="10"/>
    <x v="0"/>
  </r>
  <r>
    <x v="372"/>
    <x v="5"/>
    <x v="319"/>
    <x v="4"/>
    <x v="15"/>
    <x v="25"/>
    <x v="0"/>
    <x v="75"/>
    <x v="36"/>
    <x v="236"/>
    <x v="1"/>
    <x v="6"/>
    <x v="1"/>
    <x v="2"/>
    <x v="2"/>
  </r>
  <r>
    <x v="373"/>
    <x v="41"/>
    <x v="320"/>
    <x v="0"/>
    <x v="47"/>
    <x v="49"/>
    <x v="4"/>
    <x v="60"/>
    <x v="8"/>
    <x v="92"/>
    <x v="3"/>
    <x v="6"/>
    <x v="1"/>
    <x v="7"/>
    <x v="4"/>
  </r>
  <r>
    <x v="374"/>
    <x v="26"/>
    <x v="321"/>
    <x v="4"/>
    <x v="28"/>
    <x v="25"/>
    <x v="0"/>
    <x v="1"/>
    <x v="12"/>
    <x v="237"/>
    <x v="1"/>
    <x v="2"/>
    <x v="1"/>
    <x v="0"/>
    <x v="5"/>
  </r>
  <r>
    <x v="375"/>
    <x v="13"/>
    <x v="322"/>
    <x v="6"/>
    <x v="60"/>
    <x v="7"/>
    <x v="0"/>
    <x v="146"/>
    <x v="11"/>
    <x v="238"/>
    <x v="1"/>
    <x v="4"/>
    <x v="1"/>
    <x v="8"/>
    <x v="0"/>
  </r>
  <r>
    <x v="376"/>
    <x v="23"/>
    <x v="323"/>
    <x v="6"/>
    <x v="35"/>
    <x v="64"/>
    <x v="1"/>
    <x v="31"/>
    <x v="0"/>
    <x v="99"/>
    <x v="1"/>
    <x v="1"/>
    <x v="1"/>
    <x v="8"/>
    <x v="0"/>
  </r>
  <r>
    <x v="377"/>
    <x v="46"/>
    <x v="324"/>
    <x v="6"/>
    <x v="60"/>
    <x v="41"/>
    <x v="4"/>
    <x v="36"/>
    <x v="21"/>
    <x v="239"/>
    <x v="0"/>
    <x v="6"/>
    <x v="1"/>
    <x v="0"/>
    <x v="0"/>
  </r>
  <r>
    <x v="378"/>
    <x v="69"/>
    <x v="325"/>
    <x v="6"/>
    <x v="27"/>
    <x v="41"/>
    <x v="2"/>
    <x v="121"/>
    <x v="2"/>
    <x v="240"/>
    <x v="3"/>
    <x v="6"/>
    <x v="1"/>
    <x v="7"/>
    <x v="4"/>
  </r>
  <r>
    <x v="379"/>
    <x v="56"/>
    <x v="97"/>
    <x v="1"/>
    <x v="2"/>
    <x v="27"/>
    <x v="2"/>
    <x v="76"/>
    <x v="15"/>
    <x v="29"/>
    <x v="0"/>
    <x v="6"/>
    <x v="1"/>
    <x v="2"/>
    <x v="2"/>
  </r>
  <r>
    <x v="380"/>
    <x v="0"/>
    <x v="321"/>
    <x v="0"/>
    <x v="0"/>
    <x v="22"/>
    <x v="1"/>
    <x v="31"/>
    <x v="4"/>
    <x v="62"/>
    <x v="0"/>
    <x v="2"/>
    <x v="1"/>
    <x v="7"/>
    <x v="0"/>
  </r>
  <r>
    <x v="381"/>
    <x v="53"/>
    <x v="326"/>
    <x v="4"/>
    <x v="17"/>
    <x v="21"/>
    <x v="1"/>
    <x v="18"/>
    <x v="10"/>
    <x v="241"/>
    <x v="0"/>
    <x v="7"/>
    <x v="0"/>
    <x v="3"/>
    <x v="7"/>
  </r>
  <r>
    <x v="382"/>
    <x v="80"/>
    <x v="230"/>
    <x v="3"/>
    <x v="29"/>
    <x v="9"/>
    <x v="1"/>
    <x v="40"/>
    <x v="24"/>
    <x v="83"/>
    <x v="0"/>
    <x v="5"/>
    <x v="1"/>
    <x v="5"/>
    <x v="4"/>
  </r>
  <r>
    <x v="383"/>
    <x v="72"/>
    <x v="327"/>
    <x v="2"/>
    <x v="66"/>
    <x v="69"/>
    <x v="1"/>
    <x v="125"/>
    <x v="31"/>
    <x v="242"/>
    <x v="0"/>
    <x v="3"/>
    <x v="0"/>
    <x v="2"/>
    <x v="2"/>
  </r>
  <r>
    <x v="384"/>
    <x v="5"/>
    <x v="91"/>
    <x v="7"/>
    <x v="63"/>
    <x v="11"/>
    <x v="1"/>
    <x v="132"/>
    <x v="38"/>
    <x v="243"/>
    <x v="3"/>
    <x v="2"/>
    <x v="1"/>
    <x v="0"/>
    <x v="4"/>
  </r>
  <r>
    <x v="385"/>
    <x v="89"/>
    <x v="114"/>
    <x v="6"/>
    <x v="18"/>
    <x v="41"/>
    <x v="1"/>
    <x v="50"/>
    <x v="15"/>
    <x v="244"/>
    <x v="3"/>
    <x v="1"/>
    <x v="1"/>
    <x v="3"/>
    <x v="0"/>
  </r>
  <r>
    <x v="386"/>
    <x v="66"/>
    <x v="328"/>
    <x v="4"/>
    <x v="28"/>
    <x v="21"/>
    <x v="4"/>
    <x v="46"/>
    <x v="43"/>
    <x v="146"/>
    <x v="0"/>
    <x v="6"/>
    <x v="1"/>
    <x v="3"/>
    <x v="2"/>
  </r>
  <r>
    <x v="387"/>
    <x v="2"/>
    <x v="329"/>
    <x v="0"/>
    <x v="0"/>
    <x v="42"/>
    <x v="3"/>
    <x v="89"/>
    <x v="51"/>
    <x v="144"/>
    <x v="0"/>
    <x v="4"/>
    <x v="1"/>
    <x v="7"/>
    <x v="0"/>
  </r>
  <r>
    <x v="388"/>
    <x v="59"/>
    <x v="330"/>
    <x v="2"/>
    <x v="8"/>
    <x v="53"/>
    <x v="3"/>
    <x v="2"/>
    <x v="2"/>
    <x v="51"/>
    <x v="0"/>
    <x v="4"/>
    <x v="1"/>
    <x v="2"/>
    <x v="4"/>
  </r>
  <r>
    <x v="389"/>
    <x v="7"/>
    <x v="172"/>
    <x v="2"/>
    <x v="70"/>
    <x v="69"/>
    <x v="3"/>
    <x v="84"/>
    <x v="43"/>
    <x v="245"/>
    <x v="0"/>
    <x v="5"/>
    <x v="1"/>
    <x v="5"/>
    <x v="4"/>
  </r>
  <r>
    <x v="390"/>
    <x v="32"/>
    <x v="331"/>
    <x v="8"/>
    <x v="54"/>
    <x v="36"/>
    <x v="3"/>
    <x v="143"/>
    <x v="30"/>
    <x v="246"/>
    <x v="5"/>
    <x v="5"/>
    <x v="1"/>
    <x v="1"/>
    <x v="5"/>
  </r>
  <r>
    <x v="391"/>
    <x v="83"/>
    <x v="332"/>
    <x v="7"/>
    <x v="39"/>
    <x v="40"/>
    <x v="3"/>
    <x v="90"/>
    <x v="25"/>
    <x v="247"/>
    <x v="0"/>
    <x v="6"/>
    <x v="1"/>
    <x v="1"/>
    <x v="2"/>
  </r>
  <r>
    <x v="392"/>
    <x v="58"/>
    <x v="333"/>
    <x v="8"/>
    <x v="52"/>
    <x v="71"/>
    <x v="4"/>
    <x v="52"/>
    <x v="4"/>
    <x v="248"/>
    <x v="1"/>
    <x v="1"/>
    <x v="1"/>
    <x v="7"/>
    <x v="0"/>
  </r>
  <r>
    <x v="393"/>
    <x v="10"/>
    <x v="334"/>
    <x v="1"/>
    <x v="33"/>
    <x v="46"/>
    <x v="2"/>
    <x v="147"/>
    <x v="54"/>
    <x v="249"/>
    <x v="5"/>
    <x v="6"/>
    <x v="1"/>
    <x v="5"/>
    <x v="4"/>
  </r>
  <r>
    <x v="394"/>
    <x v="79"/>
    <x v="335"/>
    <x v="2"/>
    <x v="61"/>
    <x v="31"/>
    <x v="3"/>
    <x v="46"/>
    <x v="6"/>
    <x v="47"/>
    <x v="4"/>
    <x v="2"/>
    <x v="1"/>
    <x v="9"/>
    <x v="0"/>
  </r>
  <r>
    <x v="395"/>
    <x v="27"/>
    <x v="336"/>
    <x v="8"/>
    <x v="62"/>
    <x v="57"/>
    <x v="5"/>
    <x v="31"/>
    <x v="7"/>
    <x v="232"/>
    <x v="5"/>
    <x v="4"/>
    <x v="1"/>
    <x v="2"/>
    <x v="0"/>
  </r>
  <r>
    <x v="396"/>
    <x v="1"/>
    <x v="337"/>
    <x v="6"/>
    <x v="35"/>
    <x v="34"/>
    <x v="1"/>
    <x v="84"/>
    <x v="29"/>
    <x v="250"/>
    <x v="0"/>
    <x v="1"/>
    <x v="1"/>
    <x v="7"/>
    <x v="2"/>
  </r>
  <r>
    <x v="397"/>
    <x v="13"/>
    <x v="338"/>
    <x v="1"/>
    <x v="1"/>
    <x v="1"/>
    <x v="3"/>
    <x v="38"/>
    <x v="19"/>
    <x v="193"/>
    <x v="0"/>
    <x v="1"/>
    <x v="1"/>
    <x v="2"/>
    <x v="5"/>
  </r>
  <r>
    <x v="398"/>
    <x v="1"/>
    <x v="339"/>
    <x v="3"/>
    <x v="40"/>
    <x v="28"/>
    <x v="4"/>
    <x v="0"/>
    <x v="37"/>
    <x v="46"/>
    <x v="3"/>
    <x v="5"/>
    <x v="1"/>
    <x v="7"/>
    <x v="2"/>
  </r>
  <r>
    <x v="399"/>
    <x v="0"/>
    <x v="340"/>
    <x v="2"/>
    <x v="61"/>
    <x v="69"/>
    <x v="3"/>
    <x v="60"/>
    <x v="43"/>
    <x v="6"/>
    <x v="0"/>
    <x v="1"/>
    <x v="1"/>
    <x v="3"/>
    <x v="4"/>
  </r>
  <r>
    <x v="400"/>
    <x v="2"/>
    <x v="341"/>
    <x v="0"/>
    <x v="19"/>
    <x v="10"/>
    <x v="3"/>
    <x v="87"/>
    <x v="5"/>
    <x v="145"/>
    <x v="0"/>
    <x v="1"/>
    <x v="1"/>
    <x v="2"/>
    <x v="0"/>
  </r>
  <r>
    <x v="401"/>
    <x v="13"/>
    <x v="342"/>
    <x v="4"/>
    <x v="42"/>
    <x v="26"/>
    <x v="1"/>
    <x v="19"/>
    <x v="2"/>
    <x v="251"/>
    <x v="1"/>
    <x v="0"/>
    <x v="0"/>
    <x v="3"/>
    <x v="2"/>
  </r>
  <r>
    <x v="402"/>
    <x v="47"/>
    <x v="68"/>
    <x v="4"/>
    <x v="26"/>
    <x v="13"/>
    <x v="1"/>
    <x v="68"/>
    <x v="5"/>
    <x v="0"/>
    <x v="1"/>
    <x v="1"/>
    <x v="1"/>
    <x v="3"/>
    <x v="6"/>
  </r>
  <r>
    <x v="403"/>
    <x v="8"/>
    <x v="343"/>
    <x v="6"/>
    <x v="35"/>
    <x v="34"/>
    <x v="2"/>
    <x v="120"/>
    <x v="16"/>
    <x v="252"/>
    <x v="3"/>
    <x v="0"/>
    <x v="0"/>
    <x v="2"/>
    <x v="2"/>
  </r>
  <r>
    <x v="404"/>
    <x v="85"/>
    <x v="344"/>
    <x v="0"/>
    <x v="65"/>
    <x v="10"/>
    <x v="1"/>
    <x v="113"/>
    <x v="12"/>
    <x v="253"/>
    <x v="1"/>
    <x v="5"/>
    <x v="1"/>
    <x v="7"/>
    <x v="3"/>
  </r>
  <r>
    <x v="405"/>
    <x v="85"/>
    <x v="345"/>
    <x v="3"/>
    <x v="25"/>
    <x v="23"/>
    <x v="5"/>
    <x v="148"/>
    <x v="47"/>
    <x v="254"/>
    <x v="4"/>
    <x v="6"/>
    <x v="1"/>
    <x v="2"/>
    <x v="2"/>
  </r>
  <r>
    <x v="406"/>
    <x v="34"/>
    <x v="72"/>
    <x v="2"/>
    <x v="3"/>
    <x v="3"/>
    <x v="1"/>
    <x v="60"/>
    <x v="43"/>
    <x v="47"/>
    <x v="0"/>
    <x v="1"/>
    <x v="1"/>
    <x v="7"/>
    <x v="1"/>
  </r>
  <r>
    <x v="407"/>
    <x v="82"/>
    <x v="167"/>
    <x v="1"/>
    <x v="37"/>
    <x v="27"/>
    <x v="3"/>
    <x v="38"/>
    <x v="4"/>
    <x v="74"/>
    <x v="3"/>
    <x v="1"/>
    <x v="1"/>
    <x v="0"/>
    <x v="5"/>
  </r>
  <r>
    <x v="408"/>
    <x v="39"/>
    <x v="328"/>
    <x v="3"/>
    <x v="45"/>
    <x v="9"/>
    <x v="0"/>
    <x v="10"/>
    <x v="7"/>
    <x v="39"/>
    <x v="3"/>
    <x v="6"/>
    <x v="1"/>
    <x v="2"/>
    <x v="5"/>
  </r>
  <r>
    <x v="409"/>
    <x v="55"/>
    <x v="175"/>
    <x v="6"/>
    <x v="9"/>
    <x v="56"/>
    <x v="1"/>
    <x v="101"/>
    <x v="24"/>
    <x v="227"/>
    <x v="0"/>
    <x v="4"/>
    <x v="1"/>
    <x v="4"/>
    <x v="0"/>
  </r>
  <r>
    <x v="410"/>
    <x v="59"/>
    <x v="20"/>
    <x v="0"/>
    <x v="0"/>
    <x v="0"/>
    <x v="1"/>
    <x v="123"/>
    <x v="38"/>
    <x v="255"/>
    <x v="1"/>
    <x v="1"/>
    <x v="1"/>
    <x v="2"/>
    <x v="4"/>
  </r>
  <r>
    <x v="411"/>
    <x v="70"/>
    <x v="346"/>
    <x v="3"/>
    <x v="4"/>
    <x v="35"/>
    <x v="1"/>
    <x v="129"/>
    <x v="17"/>
    <x v="116"/>
    <x v="3"/>
    <x v="1"/>
    <x v="1"/>
    <x v="2"/>
    <x v="3"/>
  </r>
  <r>
    <x v="412"/>
    <x v="2"/>
    <x v="347"/>
    <x v="4"/>
    <x v="28"/>
    <x v="26"/>
    <x v="0"/>
    <x v="83"/>
    <x v="4"/>
    <x v="41"/>
    <x v="3"/>
    <x v="4"/>
    <x v="1"/>
    <x v="7"/>
    <x v="2"/>
  </r>
  <r>
    <x v="413"/>
    <x v="16"/>
    <x v="348"/>
    <x v="6"/>
    <x v="48"/>
    <x v="64"/>
    <x v="1"/>
    <x v="52"/>
    <x v="4"/>
    <x v="256"/>
    <x v="0"/>
    <x v="3"/>
    <x v="0"/>
    <x v="4"/>
    <x v="3"/>
  </r>
  <r>
    <x v="414"/>
    <x v="32"/>
    <x v="349"/>
    <x v="8"/>
    <x v="54"/>
    <x v="19"/>
    <x v="0"/>
    <x v="61"/>
    <x v="15"/>
    <x v="257"/>
    <x v="0"/>
    <x v="5"/>
    <x v="1"/>
    <x v="5"/>
    <x v="7"/>
  </r>
  <r>
    <x v="415"/>
    <x v="75"/>
    <x v="350"/>
    <x v="7"/>
    <x v="69"/>
    <x v="54"/>
    <x v="1"/>
    <x v="44"/>
    <x v="7"/>
    <x v="18"/>
    <x v="1"/>
    <x v="4"/>
    <x v="1"/>
    <x v="5"/>
    <x v="3"/>
  </r>
  <r>
    <x v="416"/>
    <x v="79"/>
    <x v="207"/>
    <x v="5"/>
    <x v="41"/>
    <x v="43"/>
    <x v="4"/>
    <x v="74"/>
    <x v="37"/>
    <x v="258"/>
    <x v="3"/>
    <x v="6"/>
    <x v="1"/>
    <x v="3"/>
    <x v="4"/>
  </r>
  <r>
    <x v="417"/>
    <x v="88"/>
    <x v="351"/>
    <x v="5"/>
    <x v="44"/>
    <x v="66"/>
    <x v="4"/>
    <x v="119"/>
    <x v="7"/>
    <x v="211"/>
    <x v="1"/>
    <x v="6"/>
    <x v="1"/>
    <x v="1"/>
    <x v="2"/>
  </r>
  <r>
    <x v="418"/>
    <x v="54"/>
    <x v="352"/>
    <x v="4"/>
    <x v="42"/>
    <x v="5"/>
    <x v="4"/>
    <x v="105"/>
    <x v="43"/>
    <x v="83"/>
    <x v="0"/>
    <x v="0"/>
    <x v="0"/>
    <x v="2"/>
    <x v="4"/>
  </r>
  <r>
    <x v="419"/>
    <x v="24"/>
    <x v="353"/>
    <x v="5"/>
    <x v="68"/>
    <x v="6"/>
    <x v="1"/>
    <x v="18"/>
    <x v="0"/>
    <x v="59"/>
    <x v="0"/>
    <x v="6"/>
    <x v="1"/>
    <x v="10"/>
    <x v="0"/>
  </r>
  <r>
    <x v="420"/>
    <x v="20"/>
    <x v="354"/>
    <x v="7"/>
    <x v="69"/>
    <x v="24"/>
    <x v="0"/>
    <x v="52"/>
    <x v="37"/>
    <x v="86"/>
    <x v="2"/>
    <x v="6"/>
    <x v="1"/>
    <x v="5"/>
    <x v="3"/>
  </r>
  <r>
    <x v="421"/>
    <x v="32"/>
    <x v="355"/>
    <x v="2"/>
    <x v="3"/>
    <x v="58"/>
    <x v="4"/>
    <x v="17"/>
    <x v="2"/>
    <x v="134"/>
    <x v="0"/>
    <x v="2"/>
    <x v="1"/>
    <x v="3"/>
    <x v="6"/>
  </r>
  <r>
    <x v="422"/>
    <x v="31"/>
    <x v="273"/>
    <x v="4"/>
    <x v="23"/>
    <x v="25"/>
    <x v="0"/>
    <x v="143"/>
    <x v="21"/>
    <x v="259"/>
    <x v="3"/>
    <x v="5"/>
    <x v="1"/>
    <x v="3"/>
    <x v="0"/>
  </r>
  <r>
    <x v="423"/>
    <x v="58"/>
    <x v="147"/>
    <x v="1"/>
    <x v="1"/>
    <x v="2"/>
    <x v="4"/>
    <x v="130"/>
    <x v="13"/>
    <x v="89"/>
    <x v="3"/>
    <x v="4"/>
    <x v="1"/>
    <x v="3"/>
    <x v="5"/>
  </r>
  <r>
    <x v="424"/>
    <x v="88"/>
    <x v="356"/>
    <x v="0"/>
    <x v="47"/>
    <x v="0"/>
    <x v="0"/>
    <x v="38"/>
    <x v="5"/>
    <x v="171"/>
    <x v="0"/>
    <x v="7"/>
    <x v="0"/>
    <x v="1"/>
    <x v="0"/>
  </r>
  <r>
    <x v="425"/>
    <x v="78"/>
    <x v="357"/>
    <x v="7"/>
    <x v="67"/>
    <x v="11"/>
    <x v="3"/>
    <x v="83"/>
    <x v="21"/>
    <x v="59"/>
    <x v="0"/>
    <x v="5"/>
    <x v="1"/>
    <x v="3"/>
    <x v="2"/>
  </r>
  <r>
    <x v="426"/>
    <x v="22"/>
    <x v="344"/>
    <x v="8"/>
    <x v="54"/>
    <x v="57"/>
    <x v="1"/>
    <x v="9"/>
    <x v="12"/>
    <x v="232"/>
    <x v="3"/>
    <x v="5"/>
    <x v="1"/>
    <x v="2"/>
    <x v="0"/>
  </r>
  <r>
    <x v="427"/>
    <x v="46"/>
    <x v="4"/>
    <x v="4"/>
    <x v="5"/>
    <x v="25"/>
    <x v="4"/>
    <x v="29"/>
    <x v="29"/>
    <x v="13"/>
    <x v="1"/>
    <x v="4"/>
    <x v="1"/>
    <x v="2"/>
    <x v="2"/>
  </r>
  <r>
    <x v="428"/>
    <x v="84"/>
    <x v="358"/>
    <x v="0"/>
    <x v="13"/>
    <x v="22"/>
    <x v="1"/>
    <x v="69"/>
    <x v="37"/>
    <x v="260"/>
    <x v="0"/>
    <x v="2"/>
    <x v="1"/>
    <x v="3"/>
    <x v="3"/>
  </r>
  <r>
    <x v="429"/>
    <x v="52"/>
    <x v="359"/>
    <x v="4"/>
    <x v="42"/>
    <x v="21"/>
    <x v="3"/>
    <x v="126"/>
    <x v="30"/>
    <x v="85"/>
    <x v="0"/>
    <x v="2"/>
    <x v="1"/>
    <x v="5"/>
    <x v="0"/>
  </r>
  <r>
    <x v="430"/>
    <x v="19"/>
    <x v="42"/>
    <x v="3"/>
    <x v="24"/>
    <x v="35"/>
    <x v="4"/>
    <x v="138"/>
    <x v="30"/>
    <x v="91"/>
    <x v="2"/>
    <x v="6"/>
    <x v="1"/>
    <x v="0"/>
    <x v="4"/>
  </r>
  <r>
    <x v="431"/>
    <x v="32"/>
    <x v="113"/>
    <x v="6"/>
    <x v="9"/>
    <x v="8"/>
    <x v="3"/>
    <x v="29"/>
    <x v="6"/>
    <x v="261"/>
    <x v="0"/>
    <x v="5"/>
    <x v="1"/>
    <x v="7"/>
    <x v="4"/>
  </r>
  <r>
    <x v="432"/>
    <x v="32"/>
    <x v="234"/>
    <x v="7"/>
    <x v="16"/>
    <x v="24"/>
    <x v="1"/>
    <x v="149"/>
    <x v="12"/>
    <x v="262"/>
    <x v="0"/>
    <x v="2"/>
    <x v="1"/>
    <x v="3"/>
    <x v="4"/>
  </r>
  <r>
    <x v="433"/>
    <x v="70"/>
    <x v="214"/>
    <x v="4"/>
    <x v="5"/>
    <x v="25"/>
    <x v="0"/>
    <x v="49"/>
    <x v="6"/>
    <x v="32"/>
    <x v="0"/>
    <x v="6"/>
    <x v="1"/>
    <x v="3"/>
    <x v="0"/>
  </r>
  <r>
    <x v="434"/>
    <x v="89"/>
    <x v="360"/>
    <x v="7"/>
    <x v="69"/>
    <x v="54"/>
    <x v="2"/>
    <x v="76"/>
    <x v="0"/>
    <x v="18"/>
    <x v="0"/>
    <x v="1"/>
    <x v="1"/>
    <x v="8"/>
    <x v="2"/>
  </r>
  <r>
    <x v="435"/>
    <x v="52"/>
    <x v="361"/>
    <x v="4"/>
    <x v="17"/>
    <x v="70"/>
    <x v="4"/>
    <x v="29"/>
    <x v="13"/>
    <x v="263"/>
    <x v="5"/>
    <x v="0"/>
    <x v="0"/>
    <x v="2"/>
    <x v="0"/>
  </r>
  <r>
    <x v="436"/>
    <x v="42"/>
    <x v="362"/>
    <x v="7"/>
    <x v="16"/>
    <x v="50"/>
    <x v="4"/>
    <x v="28"/>
    <x v="21"/>
    <x v="181"/>
    <x v="1"/>
    <x v="2"/>
    <x v="1"/>
    <x v="0"/>
    <x v="4"/>
  </r>
  <r>
    <x v="437"/>
    <x v="23"/>
    <x v="363"/>
    <x v="8"/>
    <x v="22"/>
    <x v="44"/>
    <x v="1"/>
    <x v="128"/>
    <x v="41"/>
    <x v="264"/>
    <x v="0"/>
    <x v="4"/>
    <x v="1"/>
    <x v="5"/>
    <x v="4"/>
  </r>
  <r>
    <x v="438"/>
    <x v="1"/>
    <x v="137"/>
    <x v="5"/>
    <x v="32"/>
    <x v="30"/>
    <x v="3"/>
    <x v="150"/>
    <x v="3"/>
    <x v="19"/>
    <x v="0"/>
    <x v="6"/>
    <x v="1"/>
    <x v="3"/>
    <x v="3"/>
  </r>
  <r>
    <x v="439"/>
    <x v="67"/>
    <x v="364"/>
    <x v="6"/>
    <x v="35"/>
    <x v="65"/>
    <x v="3"/>
    <x v="47"/>
    <x v="43"/>
    <x v="68"/>
    <x v="3"/>
    <x v="4"/>
    <x v="1"/>
    <x v="8"/>
    <x v="2"/>
  </r>
  <r>
    <x v="440"/>
    <x v="49"/>
    <x v="365"/>
    <x v="3"/>
    <x v="45"/>
    <x v="28"/>
    <x v="0"/>
    <x v="151"/>
    <x v="16"/>
    <x v="189"/>
    <x v="0"/>
    <x v="2"/>
    <x v="1"/>
    <x v="1"/>
    <x v="2"/>
  </r>
  <r>
    <x v="441"/>
    <x v="28"/>
    <x v="366"/>
    <x v="1"/>
    <x v="46"/>
    <x v="68"/>
    <x v="2"/>
    <x v="16"/>
    <x v="38"/>
    <x v="135"/>
    <x v="3"/>
    <x v="5"/>
    <x v="1"/>
    <x v="7"/>
    <x v="4"/>
  </r>
  <r>
    <x v="442"/>
    <x v="55"/>
    <x v="367"/>
    <x v="6"/>
    <x v="48"/>
    <x v="7"/>
    <x v="0"/>
    <x v="53"/>
    <x v="3"/>
    <x v="265"/>
    <x v="4"/>
    <x v="5"/>
    <x v="1"/>
    <x v="2"/>
    <x v="4"/>
  </r>
  <r>
    <x v="443"/>
    <x v="55"/>
    <x v="368"/>
    <x v="6"/>
    <x v="48"/>
    <x v="48"/>
    <x v="1"/>
    <x v="112"/>
    <x v="15"/>
    <x v="233"/>
    <x v="0"/>
    <x v="6"/>
    <x v="1"/>
    <x v="1"/>
    <x v="3"/>
  </r>
  <r>
    <x v="444"/>
    <x v="28"/>
    <x v="369"/>
    <x v="2"/>
    <x v="61"/>
    <x v="31"/>
    <x v="0"/>
    <x v="110"/>
    <x v="22"/>
    <x v="216"/>
    <x v="0"/>
    <x v="0"/>
    <x v="0"/>
    <x v="4"/>
    <x v="3"/>
  </r>
  <r>
    <x v="445"/>
    <x v="29"/>
    <x v="370"/>
    <x v="8"/>
    <x v="64"/>
    <x v="47"/>
    <x v="2"/>
    <x v="69"/>
    <x v="24"/>
    <x v="47"/>
    <x v="0"/>
    <x v="5"/>
    <x v="1"/>
    <x v="0"/>
    <x v="2"/>
  </r>
  <r>
    <x v="446"/>
    <x v="64"/>
    <x v="134"/>
    <x v="1"/>
    <x v="59"/>
    <x v="2"/>
    <x v="1"/>
    <x v="74"/>
    <x v="4"/>
    <x v="219"/>
    <x v="0"/>
    <x v="1"/>
    <x v="1"/>
    <x v="7"/>
    <x v="3"/>
  </r>
  <r>
    <x v="447"/>
    <x v="36"/>
    <x v="371"/>
    <x v="7"/>
    <x v="69"/>
    <x v="50"/>
    <x v="1"/>
    <x v="152"/>
    <x v="26"/>
    <x v="266"/>
    <x v="2"/>
    <x v="1"/>
    <x v="1"/>
    <x v="7"/>
    <x v="2"/>
  </r>
  <r>
    <x v="448"/>
    <x v="18"/>
    <x v="145"/>
    <x v="4"/>
    <x v="15"/>
    <x v="21"/>
    <x v="3"/>
    <x v="153"/>
    <x v="12"/>
    <x v="213"/>
    <x v="3"/>
    <x v="4"/>
    <x v="1"/>
    <x v="7"/>
    <x v="2"/>
  </r>
  <r>
    <x v="449"/>
    <x v="15"/>
    <x v="191"/>
    <x v="3"/>
    <x v="4"/>
    <x v="32"/>
    <x v="4"/>
    <x v="9"/>
    <x v="17"/>
    <x v="42"/>
    <x v="3"/>
    <x v="0"/>
    <x v="0"/>
    <x v="10"/>
    <x v="2"/>
  </r>
  <r>
    <x v="450"/>
    <x v="23"/>
    <x v="372"/>
    <x v="3"/>
    <x v="29"/>
    <x v="23"/>
    <x v="1"/>
    <x v="77"/>
    <x v="32"/>
    <x v="267"/>
    <x v="3"/>
    <x v="6"/>
    <x v="1"/>
    <x v="0"/>
    <x v="5"/>
  </r>
  <r>
    <x v="451"/>
    <x v="53"/>
    <x v="79"/>
    <x v="1"/>
    <x v="2"/>
    <x v="2"/>
    <x v="0"/>
    <x v="37"/>
    <x v="1"/>
    <x v="173"/>
    <x v="0"/>
    <x v="5"/>
    <x v="1"/>
    <x v="5"/>
    <x v="2"/>
  </r>
  <r>
    <x v="452"/>
    <x v="25"/>
    <x v="373"/>
    <x v="2"/>
    <x v="66"/>
    <x v="59"/>
    <x v="5"/>
    <x v="57"/>
    <x v="32"/>
    <x v="268"/>
    <x v="3"/>
    <x v="5"/>
    <x v="1"/>
    <x v="5"/>
    <x v="0"/>
  </r>
  <r>
    <x v="453"/>
    <x v="43"/>
    <x v="374"/>
    <x v="1"/>
    <x v="21"/>
    <x v="51"/>
    <x v="5"/>
    <x v="61"/>
    <x v="2"/>
    <x v="269"/>
    <x v="1"/>
    <x v="6"/>
    <x v="1"/>
    <x v="3"/>
    <x v="5"/>
  </r>
  <r>
    <x v="454"/>
    <x v="56"/>
    <x v="48"/>
    <x v="3"/>
    <x v="40"/>
    <x v="52"/>
    <x v="0"/>
    <x v="21"/>
    <x v="29"/>
    <x v="234"/>
    <x v="1"/>
    <x v="2"/>
    <x v="1"/>
    <x v="5"/>
    <x v="5"/>
  </r>
  <r>
    <x v="455"/>
    <x v="5"/>
    <x v="375"/>
    <x v="5"/>
    <x v="32"/>
    <x v="62"/>
    <x v="1"/>
    <x v="4"/>
    <x v="19"/>
    <x v="181"/>
    <x v="0"/>
    <x v="1"/>
    <x v="1"/>
    <x v="2"/>
    <x v="4"/>
  </r>
  <r>
    <x v="456"/>
    <x v="70"/>
    <x v="125"/>
    <x v="2"/>
    <x v="61"/>
    <x v="67"/>
    <x v="4"/>
    <x v="107"/>
    <x v="4"/>
    <x v="270"/>
    <x v="0"/>
    <x v="1"/>
    <x v="1"/>
    <x v="7"/>
    <x v="3"/>
  </r>
  <r>
    <x v="457"/>
    <x v="71"/>
    <x v="376"/>
    <x v="1"/>
    <x v="46"/>
    <x v="37"/>
    <x v="0"/>
    <x v="138"/>
    <x v="15"/>
    <x v="271"/>
    <x v="0"/>
    <x v="2"/>
    <x v="1"/>
    <x v="10"/>
    <x v="3"/>
  </r>
  <r>
    <x v="458"/>
    <x v="34"/>
    <x v="195"/>
    <x v="5"/>
    <x v="41"/>
    <x v="63"/>
    <x v="5"/>
    <x v="65"/>
    <x v="0"/>
    <x v="272"/>
    <x v="0"/>
    <x v="4"/>
    <x v="1"/>
    <x v="7"/>
    <x v="6"/>
  </r>
  <r>
    <x v="459"/>
    <x v="15"/>
    <x v="377"/>
    <x v="1"/>
    <x v="46"/>
    <x v="27"/>
    <x v="3"/>
    <x v="114"/>
    <x v="46"/>
    <x v="199"/>
    <x v="3"/>
    <x v="0"/>
    <x v="0"/>
    <x v="8"/>
    <x v="3"/>
  </r>
  <r>
    <x v="460"/>
    <x v="62"/>
    <x v="378"/>
    <x v="0"/>
    <x v="11"/>
    <x v="42"/>
    <x v="1"/>
    <x v="112"/>
    <x v="8"/>
    <x v="23"/>
    <x v="2"/>
    <x v="4"/>
    <x v="1"/>
    <x v="7"/>
    <x v="5"/>
  </r>
  <r>
    <x v="461"/>
    <x v="53"/>
    <x v="379"/>
    <x v="7"/>
    <x v="39"/>
    <x v="54"/>
    <x v="1"/>
    <x v="65"/>
    <x v="24"/>
    <x v="15"/>
    <x v="3"/>
    <x v="5"/>
    <x v="1"/>
    <x v="5"/>
    <x v="3"/>
  </r>
  <r>
    <x v="462"/>
    <x v="63"/>
    <x v="380"/>
    <x v="6"/>
    <x v="9"/>
    <x v="8"/>
    <x v="4"/>
    <x v="79"/>
    <x v="29"/>
    <x v="227"/>
    <x v="0"/>
    <x v="3"/>
    <x v="0"/>
    <x v="2"/>
    <x v="3"/>
  </r>
  <r>
    <x v="463"/>
    <x v="87"/>
    <x v="381"/>
    <x v="1"/>
    <x v="37"/>
    <x v="18"/>
    <x v="1"/>
    <x v="60"/>
    <x v="10"/>
    <x v="62"/>
    <x v="3"/>
    <x v="1"/>
    <x v="1"/>
    <x v="7"/>
    <x v="2"/>
  </r>
  <r>
    <x v="464"/>
    <x v="70"/>
    <x v="201"/>
    <x v="6"/>
    <x v="7"/>
    <x v="64"/>
    <x v="4"/>
    <x v="10"/>
    <x v="13"/>
    <x v="121"/>
    <x v="1"/>
    <x v="4"/>
    <x v="1"/>
    <x v="0"/>
    <x v="2"/>
  </r>
  <r>
    <x v="465"/>
    <x v="39"/>
    <x v="374"/>
    <x v="4"/>
    <x v="23"/>
    <x v="21"/>
    <x v="4"/>
    <x v="114"/>
    <x v="30"/>
    <x v="23"/>
    <x v="4"/>
    <x v="6"/>
    <x v="1"/>
    <x v="1"/>
    <x v="3"/>
  </r>
  <r>
    <x v="466"/>
    <x v="53"/>
    <x v="382"/>
    <x v="1"/>
    <x v="37"/>
    <x v="1"/>
    <x v="1"/>
    <x v="36"/>
    <x v="30"/>
    <x v="150"/>
    <x v="0"/>
    <x v="1"/>
    <x v="1"/>
    <x v="0"/>
    <x v="0"/>
  </r>
  <r>
    <x v="467"/>
    <x v="58"/>
    <x v="9"/>
    <x v="1"/>
    <x v="2"/>
    <x v="27"/>
    <x v="0"/>
    <x v="12"/>
    <x v="5"/>
    <x v="121"/>
    <x v="2"/>
    <x v="5"/>
    <x v="1"/>
    <x v="5"/>
    <x v="1"/>
  </r>
  <r>
    <x v="468"/>
    <x v="83"/>
    <x v="383"/>
    <x v="6"/>
    <x v="9"/>
    <x v="56"/>
    <x v="1"/>
    <x v="16"/>
    <x v="2"/>
    <x v="104"/>
    <x v="0"/>
    <x v="4"/>
    <x v="1"/>
    <x v="3"/>
    <x v="3"/>
  </r>
  <r>
    <x v="469"/>
    <x v="79"/>
    <x v="29"/>
    <x v="5"/>
    <x v="56"/>
    <x v="16"/>
    <x v="4"/>
    <x v="61"/>
    <x v="35"/>
    <x v="7"/>
    <x v="0"/>
    <x v="6"/>
    <x v="1"/>
    <x v="0"/>
    <x v="3"/>
  </r>
  <r>
    <x v="470"/>
    <x v="35"/>
    <x v="87"/>
    <x v="3"/>
    <x v="14"/>
    <x v="23"/>
    <x v="4"/>
    <x v="8"/>
    <x v="13"/>
    <x v="267"/>
    <x v="3"/>
    <x v="5"/>
    <x v="1"/>
    <x v="2"/>
    <x v="4"/>
  </r>
  <r>
    <x v="471"/>
    <x v="89"/>
    <x v="384"/>
    <x v="7"/>
    <x v="50"/>
    <x v="60"/>
    <x v="1"/>
    <x v="101"/>
    <x v="5"/>
    <x v="59"/>
    <x v="3"/>
    <x v="1"/>
    <x v="1"/>
    <x v="1"/>
    <x v="3"/>
  </r>
  <r>
    <x v="472"/>
    <x v="26"/>
    <x v="262"/>
    <x v="5"/>
    <x v="41"/>
    <x v="30"/>
    <x v="3"/>
    <x v="0"/>
    <x v="24"/>
    <x v="156"/>
    <x v="1"/>
    <x v="2"/>
    <x v="1"/>
    <x v="2"/>
    <x v="5"/>
  </r>
  <r>
    <x v="473"/>
    <x v="65"/>
    <x v="385"/>
    <x v="2"/>
    <x v="30"/>
    <x v="69"/>
    <x v="0"/>
    <x v="41"/>
    <x v="1"/>
    <x v="252"/>
    <x v="3"/>
    <x v="2"/>
    <x v="1"/>
    <x v="2"/>
    <x v="2"/>
  </r>
  <r>
    <x v="474"/>
    <x v="38"/>
    <x v="386"/>
    <x v="7"/>
    <x v="16"/>
    <x v="50"/>
    <x v="1"/>
    <x v="78"/>
    <x v="23"/>
    <x v="244"/>
    <x v="0"/>
    <x v="1"/>
    <x v="1"/>
    <x v="5"/>
    <x v="1"/>
  </r>
  <r>
    <x v="475"/>
    <x v="89"/>
    <x v="387"/>
    <x v="1"/>
    <x v="21"/>
    <x v="46"/>
    <x v="1"/>
    <x v="114"/>
    <x v="52"/>
    <x v="273"/>
    <x v="0"/>
    <x v="0"/>
    <x v="0"/>
    <x v="1"/>
    <x v="3"/>
  </r>
  <r>
    <x v="476"/>
    <x v="77"/>
    <x v="388"/>
    <x v="2"/>
    <x v="30"/>
    <x v="29"/>
    <x v="1"/>
    <x v="154"/>
    <x v="39"/>
    <x v="274"/>
    <x v="0"/>
    <x v="1"/>
    <x v="1"/>
    <x v="0"/>
    <x v="4"/>
  </r>
  <r>
    <x v="477"/>
    <x v="19"/>
    <x v="389"/>
    <x v="6"/>
    <x v="7"/>
    <x v="65"/>
    <x v="3"/>
    <x v="142"/>
    <x v="13"/>
    <x v="275"/>
    <x v="3"/>
    <x v="5"/>
    <x v="1"/>
    <x v="4"/>
    <x v="4"/>
  </r>
  <r>
    <x v="478"/>
    <x v="69"/>
    <x v="260"/>
    <x v="2"/>
    <x v="30"/>
    <x v="67"/>
    <x v="1"/>
    <x v="21"/>
    <x v="7"/>
    <x v="276"/>
    <x v="0"/>
    <x v="6"/>
    <x v="1"/>
    <x v="3"/>
    <x v="3"/>
  </r>
  <r>
    <x v="479"/>
    <x v="75"/>
    <x v="390"/>
    <x v="1"/>
    <x v="37"/>
    <x v="18"/>
    <x v="2"/>
    <x v="155"/>
    <x v="55"/>
    <x v="277"/>
    <x v="1"/>
    <x v="2"/>
    <x v="1"/>
    <x v="5"/>
    <x v="0"/>
  </r>
  <r>
    <x v="480"/>
    <x v="81"/>
    <x v="76"/>
    <x v="4"/>
    <x v="20"/>
    <x v="25"/>
    <x v="1"/>
    <x v="97"/>
    <x v="4"/>
    <x v="59"/>
    <x v="3"/>
    <x v="1"/>
    <x v="1"/>
    <x v="2"/>
    <x v="5"/>
  </r>
  <r>
    <x v="481"/>
    <x v="31"/>
    <x v="391"/>
    <x v="4"/>
    <x v="28"/>
    <x v="5"/>
    <x v="1"/>
    <x v="0"/>
    <x v="24"/>
    <x v="181"/>
    <x v="3"/>
    <x v="3"/>
    <x v="0"/>
    <x v="7"/>
    <x v="4"/>
  </r>
  <r>
    <x v="482"/>
    <x v="44"/>
    <x v="392"/>
    <x v="4"/>
    <x v="26"/>
    <x v="70"/>
    <x v="4"/>
    <x v="73"/>
    <x v="4"/>
    <x v="137"/>
    <x v="1"/>
    <x v="2"/>
    <x v="1"/>
    <x v="4"/>
    <x v="4"/>
  </r>
  <r>
    <x v="483"/>
    <x v="75"/>
    <x v="393"/>
    <x v="6"/>
    <x v="18"/>
    <x v="34"/>
    <x v="2"/>
    <x v="102"/>
    <x v="12"/>
    <x v="143"/>
    <x v="3"/>
    <x v="5"/>
    <x v="1"/>
    <x v="7"/>
    <x v="0"/>
  </r>
  <r>
    <x v="484"/>
    <x v="68"/>
    <x v="394"/>
    <x v="4"/>
    <x v="28"/>
    <x v="21"/>
    <x v="4"/>
    <x v="46"/>
    <x v="19"/>
    <x v="54"/>
    <x v="3"/>
    <x v="2"/>
    <x v="1"/>
    <x v="8"/>
    <x v="5"/>
  </r>
  <r>
    <x v="485"/>
    <x v="34"/>
    <x v="395"/>
    <x v="4"/>
    <x v="5"/>
    <x v="25"/>
    <x v="0"/>
    <x v="34"/>
    <x v="5"/>
    <x v="216"/>
    <x v="1"/>
    <x v="1"/>
    <x v="1"/>
    <x v="3"/>
    <x v="4"/>
  </r>
  <r>
    <x v="486"/>
    <x v="4"/>
    <x v="160"/>
    <x v="4"/>
    <x v="23"/>
    <x v="70"/>
    <x v="4"/>
    <x v="127"/>
    <x v="7"/>
    <x v="44"/>
    <x v="0"/>
    <x v="2"/>
    <x v="1"/>
    <x v="0"/>
    <x v="4"/>
  </r>
  <r>
    <x v="487"/>
    <x v="87"/>
    <x v="396"/>
    <x v="2"/>
    <x v="30"/>
    <x v="31"/>
    <x v="2"/>
    <x v="101"/>
    <x v="4"/>
    <x v="193"/>
    <x v="0"/>
    <x v="6"/>
    <x v="1"/>
    <x v="7"/>
    <x v="3"/>
  </r>
  <r>
    <x v="488"/>
    <x v="15"/>
    <x v="257"/>
    <x v="3"/>
    <x v="24"/>
    <x v="35"/>
    <x v="4"/>
    <x v="134"/>
    <x v="24"/>
    <x v="69"/>
    <x v="1"/>
    <x v="2"/>
    <x v="1"/>
    <x v="2"/>
    <x v="4"/>
  </r>
  <r>
    <x v="489"/>
    <x v="40"/>
    <x v="397"/>
    <x v="5"/>
    <x v="56"/>
    <x v="16"/>
    <x v="1"/>
    <x v="57"/>
    <x v="32"/>
    <x v="278"/>
    <x v="0"/>
    <x v="5"/>
    <x v="1"/>
    <x v="1"/>
    <x v="0"/>
  </r>
  <r>
    <x v="490"/>
    <x v="70"/>
    <x v="398"/>
    <x v="4"/>
    <x v="15"/>
    <x v="21"/>
    <x v="5"/>
    <x v="86"/>
    <x v="36"/>
    <x v="279"/>
    <x v="1"/>
    <x v="7"/>
    <x v="0"/>
    <x v="0"/>
    <x v="5"/>
  </r>
  <r>
    <x v="491"/>
    <x v="5"/>
    <x v="293"/>
    <x v="2"/>
    <x v="30"/>
    <x v="59"/>
    <x v="4"/>
    <x v="40"/>
    <x v="4"/>
    <x v="137"/>
    <x v="3"/>
    <x v="6"/>
    <x v="1"/>
    <x v="8"/>
    <x v="3"/>
  </r>
  <r>
    <x v="492"/>
    <x v="32"/>
    <x v="399"/>
    <x v="3"/>
    <x v="45"/>
    <x v="28"/>
    <x v="0"/>
    <x v="52"/>
    <x v="4"/>
    <x v="219"/>
    <x v="0"/>
    <x v="5"/>
    <x v="1"/>
    <x v="8"/>
    <x v="3"/>
  </r>
  <r>
    <x v="493"/>
    <x v="5"/>
    <x v="194"/>
    <x v="8"/>
    <x v="34"/>
    <x v="57"/>
    <x v="1"/>
    <x v="27"/>
    <x v="51"/>
    <x v="280"/>
    <x v="0"/>
    <x v="2"/>
    <x v="1"/>
    <x v="2"/>
    <x v="4"/>
  </r>
  <r>
    <x v="494"/>
    <x v="66"/>
    <x v="400"/>
    <x v="6"/>
    <x v="9"/>
    <x v="8"/>
    <x v="3"/>
    <x v="96"/>
    <x v="12"/>
    <x v="139"/>
    <x v="0"/>
    <x v="5"/>
    <x v="1"/>
    <x v="2"/>
    <x v="2"/>
  </r>
  <r>
    <x v="495"/>
    <x v="15"/>
    <x v="401"/>
    <x v="0"/>
    <x v="13"/>
    <x v="49"/>
    <x v="0"/>
    <x v="33"/>
    <x v="5"/>
    <x v="237"/>
    <x v="3"/>
    <x v="5"/>
    <x v="1"/>
    <x v="0"/>
    <x v="2"/>
  </r>
  <r>
    <x v="496"/>
    <x v="15"/>
    <x v="402"/>
    <x v="3"/>
    <x v="25"/>
    <x v="23"/>
    <x v="1"/>
    <x v="127"/>
    <x v="6"/>
    <x v="160"/>
    <x v="0"/>
    <x v="4"/>
    <x v="1"/>
    <x v="1"/>
    <x v="3"/>
  </r>
  <r>
    <x v="497"/>
    <x v="45"/>
    <x v="403"/>
    <x v="6"/>
    <x v="60"/>
    <x v="64"/>
    <x v="4"/>
    <x v="5"/>
    <x v="4"/>
    <x v="95"/>
    <x v="0"/>
    <x v="6"/>
    <x v="1"/>
    <x v="0"/>
    <x v="2"/>
  </r>
  <r>
    <x v="498"/>
    <x v="85"/>
    <x v="404"/>
    <x v="3"/>
    <x v="14"/>
    <x v="28"/>
    <x v="1"/>
    <x v="9"/>
    <x v="25"/>
    <x v="186"/>
    <x v="1"/>
    <x v="6"/>
    <x v="1"/>
    <x v="5"/>
    <x v="0"/>
  </r>
  <r>
    <x v="499"/>
    <x v="44"/>
    <x v="152"/>
    <x v="2"/>
    <x v="3"/>
    <x v="59"/>
    <x v="1"/>
    <x v="67"/>
    <x v="8"/>
    <x v="281"/>
    <x v="0"/>
    <x v="5"/>
    <x v="1"/>
    <x v="2"/>
    <x v="0"/>
  </r>
  <r>
    <x v="500"/>
    <x v="44"/>
    <x v="405"/>
    <x v="0"/>
    <x v="65"/>
    <x v="10"/>
    <x v="1"/>
    <x v="4"/>
    <x v="0"/>
    <x v="137"/>
    <x v="1"/>
    <x v="4"/>
    <x v="1"/>
    <x v="1"/>
    <x v="2"/>
  </r>
  <r>
    <x v="501"/>
    <x v="78"/>
    <x v="406"/>
    <x v="1"/>
    <x v="21"/>
    <x v="1"/>
    <x v="1"/>
    <x v="40"/>
    <x v="30"/>
    <x v="164"/>
    <x v="3"/>
    <x v="4"/>
    <x v="1"/>
    <x v="0"/>
    <x v="2"/>
  </r>
  <r>
    <x v="502"/>
    <x v="59"/>
    <x v="373"/>
    <x v="1"/>
    <x v="1"/>
    <x v="68"/>
    <x v="1"/>
    <x v="156"/>
    <x v="56"/>
    <x v="151"/>
    <x v="1"/>
    <x v="5"/>
    <x v="1"/>
    <x v="0"/>
    <x v="5"/>
  </r>
  <r>
    <x v="503"/>
    <x v="68"/>
    <x v="142"/>
    <x v="6"/>
    <x v="43"/>
    <x v="8"/>
    <x v="2"/>
    <x v="41"/>
    <x v="26"/>
    <x v="282"/>
    <x v="2"/>
    <x v="5"/>
    <x v="1"/>
    <x v="1"/>
    <x v="2"/>
  </r>
  <r>
    <x v="504"/>
    <x v="27"/>
    <x v="45"/>
    <x v="6"/>
    <x v="35"/>
    <x v="8"/>
    <x v="3"/>
    <x v="45"/>
    <x v="32"/>
    <x v="224"/>
    <x v="0"/>
    <x v="6"/>
    <x v="1"/>
    <x v="1"/>
    <x v="4"/>
  </r>
  <r>
    <x v="505"/>
    <x v="76"/>
    <x v="407"/>
    <x v="1"/>
    <x v="37"/>
    <x v="2"/>
    <x v="0"/>
    <x v="43"/>
    <x v="18"/>
    <x v="283"/>
    <x v="0"/>
    <x v="1"/>
    <x v="1"/>
    <x v="2"/>
    <x v="4"/>
  </r>
  <r>
    <x v="506"/>
    <x v="86"/>
    <x v="408"/>
    <x v="6"/>
    <x v="27"/>
    <x v="8"/>
    <x v="4"/>
    <x v="113"/>
    <x v="29"/>
    <x v="127"/>
    <x v="3"/>
    <x v="0"/>
    <x v="0"/>
    <x v="4"/>
    <x v="0"/>
  </r>
  <r>
    <x v="507"/>
    <x v="42"/>
    <x v="289"/>
    <x v="0"/>
    <x v="51"/>
    <x v="33"/>
    <x v="4"/>
    <x v="1"/>
    <x v="8"/>
    <x v="204"/>
    <x v="1"/>
    <x v="4"/>
    <x v="1"/>
    <x v="2"/>
    <x v="0"/>
  </r>
  <r>
    <x v="508"/>
    <x v="85"/>
    <x v="409"/>
    <x v="4"/>
    <x v="20"/>
    <x v="17"/>
    <x v="1"/>
    <x v="65"/>
    <x v="37"/>
    <x v="210"/>
    <x v="3"/>
    <x v="0"/>
    <x v="0"/>
    <x v="0"/>
    <x v="5"/>
  </r>
  <r>
    <x v="509"/>
    <x v="81"/>
    <x v="410"/>
    <x v="4"/>
    <x v="5"/>
    <x v="13"/>
    <x v="1"/>
    <x v="112"/>
    <x v="24"/>
    <x v="17"/>
    <x v="0"/>
    <x v="3"/>
    <x v="0"/>
    <x v="5"/>
    <x v="0"/>
  </r>
  <r>
    <x v="510"/>
    <x v="66"/>
    <x v="411"/>
    <x v="0"/>
    <x v="19"/>
    <x v="14"/>
    <x v="1"/>
    <x v="100"/>
    <x v="33"/>
    <x v="214"/>
    <x v="3"/>
    <x v="2"/>
    <x v="1"/>
    <x v="2"/>
    <x v="0"/>
  </r>
  <r>
    <x v="511"/>
    <x v="35"/>
    <x v="149"/>
    <x v="2"/>
    <x v="31"/>
    <x v="29"/>
    <x v="0"/>
    <x v="103"/>
    <x v="4"/>
    <x v="100"/>
    <x v="3"/>
    <x v="5"/>
    <x v="1"/>
    <x v="7"/>
    <x v="3"/>
  </r>
  <r>
    <x v="512"/>
    <x v="44"/>
    <x v="412"/>
    <x v="6"/>
    <x v="60"/>
    <x v="41"/>
    <x v="3"/>
    <x v="123"/>
    <x v="12"/>
    <x v="272"/>
    <x v="0"/>
    <x v="0"/>
    <x v="0"/>
    <x v="0"/>
    <x v="4"/>
  </r>
  <r>
    <x v="513"/>
    <x v="87"/>
    <x v="169"/>
    <x v="6"/>
    <x v="43"/>
    <x v="34"/>
    <x v="3"/>
    <x v="46"/>
    <x v="7"/>
    <x v="8"/>
    <x v="0"/>
    <x v="5"/>
    <x v="1"/>
    <x v="10"/>
    <x v="0"/>
  </r>
  <r>
    <x v="514"/>
    <x v="29"/>
    <x v="413"/>
    <x v="4"/>
    <x v="42"/>
    <x v="21"/>
    <x v="0"/>
    <x v="78"/>
    <x v="0"/>
    <x v="284"/>
    <x v="2"/>
    <x v="5"/>
    <x v="1"/>
    <x v="1"/>
    <x v="4"/>
  </r>
  <r>
    <x v="515"/>
    <x v="13"/>
    <x v="414"/>
    <x v="4"/>
    <x v="20"/>
    <x v="17"/>
    <x v="1"/>
    <x v="28"/>
    <x v="4"/>
    <x v="127"/>
    <x v="1"/>
    <x v="4"/>
    <x v="1"/>
    <x v="7"/>
    <x v="6"/>
  </r>
  <r>
    <x v="516"/>
    <x v="25"/>
    <x v="415"/>
    <x v="2"/>
    <x v="31"/>
    <x v="31"/>
    <x v="4"/>
    <x v="115"/>
    <x v="12"/>
    <x v="0"/>
    <x v="2"/>
    <x v="4"/>
    <x v="1"/>
    <x v="0"/>
    <x v="4"/>
  </r>
  <r>
    <x v="517"/>
    <x v="9"/>
    <x v="371"/>
    <x v="1"/>
    <x v="33"/>
    <x v="1"/>
    <x v="4"/>
    <x v="118"/>
    <x v="1"/>
    <x v="197"/>
    <x v="0"/>
    <x v="1"/>
    <x v="1"/>
    <x v="4"/>
    <x v="0"/>
  </r>
  <r>
    <x v="518"/>
    <x v="23"/>
    <x v="416"/>
    <x v="3"/>
    <x v="14"/>
    <x v="28"/>
    <x v="1"/>
    <x v="81"/>
    <x v="36"/>
    <x v="285"/>
    <x v="0"/>
    <x v="6"/>
    <x v="1"/>
    <x v="1"/>
    <x v="5"/>
  </r>
  <r>
    <x v="519"/>
    <x v="51"/>
    <x v="417"/>
    <x v="4"/>
    <x v="28"/>
    <x v="26"/>
    <x v="1"/>
    <x v="39"/>
    <x v="43"/>
    <x v="100"/>
    <x v="3"/>
    <x v="6"/>
    <x v="1"/>
    <x v="7"/>
    <x v="0"/>
  </r>
  <r>
    <x v="520"/>
    <x v="24"/>
    <x v="418"/>
    <x v="8"/>
    <x v="64"/>
    <x v="57"/>
    <x v="1"/>
    <x v="45"/>
    <x v="7"/>
    <x v="197"/>
    <x v="1"/>
    <x v="6"/>
    <x v="1"/>
    <x v="1"/>
    <x v="1"/>
  </r>
  <r>
    <x v="521"/>
    <x v="65"/>
    <x v="419"/>
    <x v="5"/>
    <x v="41"/>
    <x v="62"/>
    <x v="4"/>
    <x v="33"/>
    <x v="22"/>
    <x v="92"/>
    <x v="0"/>
    <x v="6"/>
    <x v="1"/>
    <x v="6"/>
    <x v="6"/>
  </r>
  <r>
    <x v="522"/>
    <x v="4"/>
    <x v="82"/>
    <x v="5"/>
    <x v="44"/>
    <x v="6"/>
    <x v="1"/>
    <x v="99"/>
    <x v="33"/>
    <x v="144"/>
    <x v="1"/>
    <x v="1"/>
    <x v="1"/>
    <x v="3"/>
    <x v="0"/>
  </r>
  <r>
    <x v="523"/>
    <x v="39"/>
    <x v="40"/>
    <x v="0"/>
    <x v="51"/>
    <x v="42"/>
    <x v="1"/>
    <x v="62"/>
    <x v="13"/>
    <x v="171"/>
    <x v="1"/>
    <x v="6"/>
    <x v="1"/>
    <x v="5"/>
    <x v="0"/>
  </r>
  <r>
    <x v="524"/>
    <x v="38"/>
    <x v="420"/>
    <x v="8"/>
    <x v="62"/>
    <x v="57"/>
    <x v="4"/>
    <x v="102"/>
    <x v="30"/>
    <x v="54"/>
    <x v="2"/>
    <x v="3"/>
    <x v="0"/>
    <x v="9"/>
    <x v="4"/>
  </r>
  <r>
    <x v="525"/>
    <x v="23"/>
    <x v="419"/>
    <x v="6"/>
    <x v="35"/>
    <x v="8"/>
    <x v="3"/>
    <x v="13"/>
    <x v="30"/>
    <x v="286"/>
    <x v="0"/>
    <x v="6"/>
    <x v="1"/>
    <x v="0"/>
    <x v="7"/>
  </r>
  <r>
    <x v="526"/>
    <x v="27"/>
    <x v="218"/>
    <x v="1"/>
    <x v="49"/>
    <x v="18"/>
    <x v="1"/>
    <x v="40"/>
    <x v="23"/>
    <x v="128"/>
    <x v="3"/>
    <x v="4"/>
    <x v="1"/>
    <x v="7"/>
    <x v="2"/>
  </r>
  <r>
    <x v="527"/>
    <x v="10"/>
    <x v="421"/>
    <x v="5"/>
    <x v="53"/>
    <x v="66"/>
    <x v="0"/>
    <x v="101"/>
    <x v="24"/>
    <x v="0"/>
    <x v="3"/>
    <x v="0"/>
    <x v="0"/>
    <x v="0"/>
    <x v="6"/>
  </r>
  <r>
    <x v="528"/>
    <x v="46"/>
    <x v="204"/>
    <x v="2"/>
    <x v="61"/>
    <x v="59"/>
    <x v="1"/>
    <x v="147"/>
    <x v="17"/>
    <x v="287"/>
    <x v="1"/>
    <x v="5"/>
    <x v="1"/>
    <x v="3"/>
    <x v="4"/>
  </r>
  <r>
    <x v="529"/>
    <x v="89"/>
    <x v="221"/>
    <x v="3"/>
    <x v="24"/>
    <x v="9"/>
    <x v="1"/>
    <x v="22"/>
    <x v="2"/>
    <x v="288"/>
    <x v="0"/>
    <x v="4"/>
    <x v="1"/>
    <x v="3"/>
    <x v="0"/>
  </r>
  <r>
    <x v="530"/>
    <x v="86"/>
    <x v="422"/>
    <x v="4"/>
    <x v="28"/>
    <x v="26"/>
    <x v="3"/>
    <x v="157"/>
    <x v="49"/>
    <x v="289"/>
    <x v="0"/>
    <x v="5"/>
    <x v="1"/>
    <x v="2"/>
    <x v="0"/>
  </r>
  <r>
    <x v="531"/>
    <x v="70"/>
    <x v="423"/>
    <x v="2"/>
    <x v="8"/>
    <x v="31"/>
    <x v="4"/>
    <x v="63"/>
    <x v="30"/>
    <x v="153"/>
    <x v="1"/>
    <x v="6"/>
    <x v="1"/>
    <x v="1"/>
    <x v="2"/>
  </r>
  <r>
    <x v="532"/>
    <x v="32"/>
    <x v="424"/>
    <x v="2"/>
    <x v="66"/>
    <x v="69"/>
    <x v="2"/>
    <x v="64"/>
    <x v="7"/>
    <x v="219"/>
    <x v="1"/>
    <x v="2"/>
    <x v="1"/>
    <x v="3"/>
    <x v="2"/>
  </r>
  <r>
    <x v="533"/>
    <x v="65"/>
    <x v="425"/>
    <x v="3"/>
    <x v="45"/>
    <x v="4"/>
    <x v="3"/>
    <x v="58"/>
    <x v="37"/>
    <x v="180"/>
    <x v="0"/>
    <x v="1"/>
    <x v="1"/>
    <x v="3"/>
    <x v="0"/>
  </r>
  <r>
    <x v="534"/>
    <x v="20"/>
    <x v="426"/>
    <x v="8"/>
    <x v="54"/>
    <x v="36"/>
    <x v="1"/>
    <x v="84"/>
    <x v="5"/>
    <x v="275"/>
    <x v="0"/>
    <x v="5"/>
    <x v="1"/>
    <x v="5"/>
    <x v="2"/>
  </r>
  <r>
    <x v="535"/>
    <x v="5"/>
    <x v="427"/>
    <x v="2"/>
    <x v="8"/>
    <x v="53"/>
    <x v="1"/>
    <x v="102"/>
    <x v="6"/>
    <x v="128"/>
    <x v="1"/>
    <x v="4"/>
    <x v="1"/>
    <x v="7"/>
    <x v="6"/>
  </r>
  <r>
    <x v="536"/>
    <x v="19"/>
    <x v="212"/>
    <x v="5"/>
    <x v="71"/>
    <x v="30"/>
    <x v="2"/>
    <x v="121"/>
    <x v="29"/>
    <x v="213"/>
    <x v="1"/>
    <x v="6"/>
    <x v="1"/>
    <x v="0"/>
    <x v="2"/>
  </r>
  <r>
    <x v="537"/>
    <x v="9"/>
    <x v="428"/>
    <x v="3"/>
    <x v="14"/>
    <x v="9"/>
    <x v="3"/>
    <x v="12"/>
    <x v="4"/>
    <x v="55"/>
    <x v="0"/>
    <x v="0"/>
    <x v="0"/>
    <x v="5"/>
    <x v="3"/>
  </r>
  <r>
    <x v="538"/>
    <x v="32"/>
    <x v="429"/>
    <x v="7"/>
    <x v="39"/>
    <x v="11"/>
    <x v="0"/>
    <x v="133"/>
    <x v="4"/>
    <x v="83"/>
    <x v="5"/>
    <x v="6"/>
    <x v="1"/>
    <x v="1"/>
    <x v="4"/>
  </r>
  <r>
    <x v="539"/>
    <x v="79"/>
    <x v="430"/>
    <x v="8"/>
    <x v="52"/>
    <x v="45"/>
    <x v="1"/>
    <x v="5"/>
    <x v="0"/>
    <x v="160"/>
    <x v="0"/>
    <x v="4"/>
    <x v="1"/>
    <x v="7"/>
    <x v="3"/>
  </r>
  <r>
    <x v="540"/>
    <x v="42"/>
    <x v="431"/>
    <x v="6"/>
    <x v="43"/>
    <x v="34"/>
    <x v="1"/>
    <x v="120"/>
    <x v="29"/>
    <x v="255"/>
    <x v="3"/>
    <x v="6"/>
    <x v="1"/>
    <x v="2"/>
    <x v="5"/>
  </r>
  <r>
    <x v="541"/>
    <x v="85"/>
    <x v="432"/>
    <x v="3"/>
    <x v="45"/>
    <x v="23"/>
    <x v="4"/>
    <x v="28"/>
    <x v="43"/>
    <x v="209"/>
    <x v="3"/>
    <x v="0"/>
    <x v="0"/>
    <x v="2"/>
    <x v="5"/>
  </r>
  <r>
    <x v="542"/>
    <x v="83"/>
    <x v="325"/>
    <x v="1"/>
    <x v="59"/>
    <x v="37"/>
    <x v="2"/>
    <x v="105"/>
    <x v="12"/>
    <x v="290"/>
    <x v="0"/>
    <x v="6"/>
    <x v="1"/>
    <x v="1"/>
    <x v="4"/>
  </r>
  <r>
    <x v="543"/>
    <x v="23"/>
    <x v="433"/>
    <x v="2"/>
    <x v="55"/>
    <x v="31"/>
    <x v="1"/>
    <x v="158"/>
    <x v="38"/>
    <x v="291"/>
    <x v="2"/>
    <x v="3"/>
    <x v="0"/>
    <x v="5"/>
    <x v="0"/>
  </r>
  <r>
    <x v="544"/>
    <x v="55"/>
    <x v="2"/>
    <x v="3"/>
    <x v="14"/>
    <x v="9"/>
    <x v="1"/>
    <x v="118"/>
    <x v="29"/>
    <x v="292"/>
    <x v="0"/>
    <x v="2"/>
    <x v="1"/>
    <x v="2"/>
    <x v="3"/>
  </r>
  <r>
    <x v="545"/>
    <x v="5"/>
    <x v="186"/>
    <x v="3"/>
    <x v="45"/>
    <x v="35"/>
    <x v="1"/>
    <x v="52"/>
    <x v="4"/>
    <x v="211"/>
    <x v="4"/>
    <x v="6"/>
    <x v="1"/>
    <x v="8"/>
    <x v="5"/>
  </r>
  <r>
    <x v="546"/>
    <x v="48"/>
    <x v="434"/>
    <x v="7"/>
    <x v="39"/>
    <x v="20"/>
    <x v="1"/>
    <x v="62"/>
    <x v="6"/>
    <x v="229"/>
    <x v="0"/>
    <x v="7"/>
    <x v="0"/>
    <x v="7"/>
    <x v="3"/>
  </r>
  <r>
    <x v="547"/>
    <x v="35"/>
    <x v="435"/>
    <x v="6"/>
    <x v="7"/>
    <x v="48"/>
    <x v="1"/>
    <x v="12"/>
    <x v="24"/>
    <x v="227"/>
    <x v="5"/>
    <x v="2"/>
    <x v="1"/>
    <x v="8"/>
    <x v="4"/>
  </r>
  <r>
    <x v="548"/>
    <x v="0"/>
    <x v="436"/>
    <x v="1"/>
    <x v="33"/>
    <x v="46"/>
    <x v="1"/>
    <x v="63"/>
    <x v="0"/>
    <x v="127"/>
    <x v="0"/>
    <x v="2"/>
    <x v="1"/>
    <x v="0"/>
    <x v="4"/>
  </r>
  <r>
    <x v="549"/>
    <x v="47"/>
    <x v="437"/>
    <x v="0"/>
    <x v="0"/>
    <x v="0"/>
    <x v="3"/>
    <x v="9"/>
    <x v="26"/>
    <x v="293"/>
    <x v="1"/>
    <x v="4"/>
    <x v="1"/>
    <x v="4"/>
    <x v="2"/>
  </r>
  <r>
    <x v="550"/>
    <x v="10"/>
    <x v="220"/>
    <x v="3"/>
    <x v="25"/>
    <x v="12"/>
    <x v="4"/>
    <x v="74"/>
    <x v="22"/>
    <x v="137"/>
    <x v="0"/>
    <x v="4"/>
    <x v="1"/>
    <x v="0"/>
    <x v="5"/>
  </r>
  <r>
    <x v="551"/>
    <x v="5"/>
    <x v="438"/>
    <x v="1"/>
    <x v="49"/>
    <x v="46"/>
    <x v="1"/>
    <x v="97"/>
    <x v="0"/>
    <x v="294"/>
    <x v="3"/>
    <x v="6"/>
    <x v="1"/>
    <x v="2"/>
    <x v="6"/>
  </r>
  <r>
    <x v="552"/>
    <x v="37"/>
    <x v="439"/>
    <x v="8"/>
    <x v="57"/>
    <x v="39"/>
    <x v="1"/>
    <x v="36"/>
    <x v="30"/>
    <x v="155"/>
    <x v="3"/>
    <x v="0"/>
    <x v="0"/>
    <x v="2"/>
    <x v="0"/>
  </r>
  <r>
    <x v="553"/>
    <x v="48"/>
    <x v="52"/>
    <x v="5"/>
    <x v="56"/>
    <x v="66"/>
    <x v="1"/>
    <x v="80"/>
    <x v="57"/>
    <x v="271"/>
    <x v="0"/>
    <x v="2"/>
    <x v="1"/>
    <x v="1"/>
    <x v="3"/>
  </r>
  <r>
    <x v="554"/>
    <x v="69"/>
    <x v="440"/>
    <x v="6"/>
    <x v="7"/>
    <x v="7"/>
    <x v="2"/>
    <x v="13"/>
    <x v="7"/>
    <x v="150"/>
    <x v="3"/>
    <x v="1"/>
    <x v="1"/>
    <x v="5"/>
    <x v="0"/>
  </r>
  <r>
    <x v="555"/>
    <x v="8"/>
    <x v="273"/>
    <x v="3"/>
    <x v="14"/>
    <x v="35"/>
    <x v="1"/>
    <x v="159"/>
    <x v="4"/>
    <x v="79"/>
    <x v="0"/>
    <x v="5"/>
    <x v="1"/>
    <x v="0"/>
    <x v="2"/>
  </r>
  <r>
    <x v="556"/>
    <x v="38"/>
    <x v="441"/>
    <x v="0"/>
    <x v="0"/>
    <x v="14"/>
    <x v="2"/>
    <x v="14"/>
    <x v="13"/>
    <x v="179"/>
    <x v="0"/>
    <x v="4"/>
    <x v="1"/>
    <x v="1"/>
    <x v="5"/>
  </r>
  <r>
    <x v="557"/>
    <x v="60"/>
    <x v="4"/>
    <x v="8"/>
    <x v="57"/>
    <x v="57"/>
    <x v="0"/>
    <x v="29"/>
    <x v="4"/>
    <x v="292"/>
    <x v="3"/>
    <x v="4"/>
    <x v="1"/>
    <x v="5"/>
    <x v="6"/>
  </r>
  <r>
    <x v="558"/>
    <x v="35"/>
    <x v="90"/>
    <x v="0"/>
    <x v="65"/>
    <x v="10"/>
    <x v="4"/>
    <x v="26"/>
    <x v="13"/>
    <x v="295"/>
    <x v="0"/>
    <x v="2"/>
    <x v="1"/>
    <x v="3"/>
    <x v="3"/>
  </r>
  <r>
    <x v="559"/>
    <x v="4"/>
    <x v="112"/>
    <x v="8"/>
    <x v="34"/>
    <x v="36"/>
    <x v="1"/>
    <x v="63"/>
    <x v="4"/>
    <x v="210"/>
    <x v="5"/>
    <x v="2"/>
    <x v="1"/>
    <x v="0"/>
    <x v="3"/>
  </r>
  <r>
    <x v="560"/>
    <x v="86"/>
    <x v="323"/>
    <x v="7"/>
    <x v="50"/>
    <x v="60"/>
    <x v="1"/>
    <x v="13"/>
    <x v="37"/>
    <x v="204"/>
    <x v="3"/>
    <x v="1"/>
    <x v="1"/>
    <x v="4"/>
    <x v="3"/>
  </r>
  <r>
    <x v="561"/>
    <x v="43"/>
    <x v="442"/>
    <x v="0"/>
    <x v="47"/>
    <x v="49"/>
    <x v="4"/>
    <x v="17"/>
    <x v="1"/>
    <x v="222"/>
    <x v="0"/>
    <x v="5"/>
    <x v="1"/>
    <x v="10"/>
    <x v="0"/>
  </r>
  <r>
    <x v="562"/>
    <x v="11"/>
    <x v="443"/>
    <x v="2"/>
    <x v="70"/>
    <x v="67"/>
    <x v="1"/>
    <x v="31"/>
    <x v="23"/>
    <x v="164"/>
    <x v="1"/>
    <x v="2"/>
    <x v="1"/>
    <x v="1"/>
    <x v="2"/>
  </r>
  <r>
    <x v="563"/>
    <x v="39"/>
    <x v="444"/>
    <x v="3"/>
    <x v="10"/>
    <x v="23"/>
    <x v="5"/>
    <x v="52"/>
    <x v="22"/>
    <x v="197"/>
    <x v="4"/>
    <x v="4"/>
    <x v="1"/>
    <x v="7"/>
    <x v="5"/>
  </r>
  <r>
    <x v="564"/>
    <x v="62"/>
    <x v="445"/>
    <x v="2"/>
    <x v="70"/>
    <x v="58"/>
    <x v="2"/>
    <x v="109"/>
    <x v="30"/>
    <x v="192"/>
    <x v="0"/>
    <x v="1"/>
    <x v="1"/>
    <x v="9"/>
    <x v="2"/>
  </r>
  <r>
    <x v="565"/>
    <x v="43"/>
    <x v="325"/>
    <x v="7"/>
    <x v="58"/>
    <x v="40"/>
    <x v="1"/>
    <x v="137"/>
    <x v="12"/>
    <x v="296"/>
    <x v="0"/>
    <x v="6"/>
    <x v="1"/>
    <x v="0"/>
    <x v="3"/>
  </r>
  <r>
    <x v="566"/>
    <x v="23"/>
    <x v="446"/>
    <x v="2"/>
    <x v="30"/>
    <x v="59"/>
    <x v="4"/>
    <x v="130"/>
    <x v="5"/>
    <x v="28"/>
    <x v="4"/>
    <x v="1"/>
    <x v="1"/>
    <x v="0"/>
    <x v="3"/>
  </r>
  <r>
    <x v="567"/>
    <x v="57"/>
    <x v="447"/>
    <x v="2"/>
    <x v="70"/>
    <x v="59"/>
    <x v="1"/>
    <x v="70"/>
    <x v="38"/>
    <x v="80"/>
    <x v="3"/>
    <x v="6"/>
    <x v="1"/>
    <x v="0"/>
    <x v="2"/>
  </r>
  <r>
    <x v="568"/>
    <x v="11"/>
    <x v="215"/>
    <x v="3"/>
    <x v="14"/>
    <x v="32"/>
    <x v="1"/>
    <x v="18"/>
    <x v="13"/>
    <x v="53"/>
    <x v="3"/>
    <x v="6"/>
    <x v="1"/>
    <x v="0"/>
    <x v="4"/>
  </r>
  <r>
    <x v="569"/>
    <x v="83"/>
    <x v="448"/>
    <x v="2"/>
    <x v="30"/>
    <x v="31"/>
    <x v="4"/>
    <x v="13"/>
    <x v="32"/>
    <x v="66"/>
    <x v="2"/>
    <x v="7"/>
    <x v="0"/>
    <x v="3"/>
    <x v="2"/>
  </r>
  <r>
    <x v="570"/>
    <x v="10"/>
    <x v="449"/>
    <x v="3"/>
    <x v="4"/>
    <x v="28"/>
    <x v="4"/>
    <x v="105"/>
    <x v="6"/>
    <x v="35"/>
    <x v="0"/>
    <x v="0"/>
    <x v="0"/>
    <x v="8"/>
    <x v="3"/>
  </r>
  <r>
    <x v="571"/>
    <x v="52"/>
    <x v="450"/>
    <x v="1"/>
    <x v="46"/>
    <x v="27"/>
    <x v="4"/>
    <x v="159"/>
    <x v="4"/>
    <x v="297"/>
    <x v="3"/>
    <x v="1"/>
    <x v="1"/>
    <x v="5"/>
    <x v="4"/>
  </r>
  <r>
    <x v="572"/>
    <x v="26"/>
    <x v="451"/>
    <x v="1"/>
    <x v="33"/>
    <x v="46"/>
    <x v="1"/>
    <x v="160"/>
    <x v="17"/>
    <x v="131"/>
    <x v="0"/>
    <x v="6"/>
    <x v="1"/>
    <x v="2"/>
    <x v="0"/>
  </r>
  <r>
    <x v="573"/>
    <x v="70"/>
    <x v="452"/>
    <x v="7"/>
    <x v="69"/>
    <x v="40"/>
    <x v="4"/>
    <x v="130"/>
    <x v="37"/>
    <x v="263"/>
    <x v="0"/>
    <x v="3"/>
    <x v="0"/>
    <x v="7"/>
    <x v="2"/>
  </r>
  <r>
    <x v="574"/>
    <x v="11"/>
    <x v="453"/>
    <x v="0"/>
    <x v="19"/>
    <x v="33"/>
    <x v="4"/>
    <x v="91"/>
    <x v="36"/>
    <x v="83"/>
    <x v="1"/>
    <x v="6"/>
    <x v="1"/>
    <x v="2"/>
    <x v="4"/>
  </r>
  <r>
    <x v="575"/>
    <x v="64"/>
    <x v="454"/>
    <x v="6"/>
    <x v="7"/>
    <x v="7"/>
    <x v="1"/>
    <x v="79"/>
    <x v="7"/>
    <x v="298"/>
    <x v="3"/>
    <x v="1"/>
    <x v="1"/>
    <x v="0"/>
    <x v="4"/>
  </r>
  <r>
    <x v="576"/>
    <x v="23"/>
    <x v="455"/>
    <x v="6"/>
    <x v="27"/>
    <x v="48"/>
    <x v="0"/>
    <x v="161"/>
    <x v="58"/>
    <x v="299"/>
    <x v="0"/>
    <x v="6"/>
    <x v="1"/>
    <x v="5"/>
    <x v="2"/>
  </r>
  <r>
    <x v="577"/>
    <x v="13"/>
    <x v="456"/>
    <x v="5"/>
    <x v="32"/>
    <x v="30"/>
    <x v="2"/>
    <x v="127"/>
    <x v="10"/>
    <x v="300"/>
    <x v="0"/>
    <x v="1"/>
    <x v="1"/>
    <x v="0"/>
    <x v="2"/>
  </r>
  <r>
    <x v="578"/>
    <x v="55"/>
    <x v="457"/>
    <x v="3"/>
    <x v="14"/>
    <x v="28"/>
    <x v="1"/>
    <x v="143"/>
    <x v="38"/>
    <x v="78"/>
    <x v="3"/>
    <x v="3"/>
    <x v="0"/>
    <x v="4"/>
    <x v="3"/>
  </r>
  <r>
    <x v="579"/>
    <x v="9"/>
    <x v="458"/>
    <x v="4"/>
    <x v="42"/>
    <x v="5"/>
    <x v="0"/>
    <x v="49"/>
    <x v="23"/>
    <x v="301"/>
    <x v="0"/>
    <x v="7"/>
    <x v="0"/>
    <x v="5"/>
    <x v="2"/>
  </r>
  <r>
    <x v="580"/>
    <x v="54"/>
    <x v="459"/>
    <x v="3"/>
    <x v="29"/>
    <x v="35"/>
    <x v="4"/>
    <x v="84"/>
    <x v="23"/>
    <x v="160"/>
    <x v="3"/>
    <x v="5"/>
    <x v="1"/>
    <x v="3"/>
    <x v="5"/>
  </r>
  <r>
    <x v="581"/>
    <x v="17"/>
    <x v="316"/>
    <x v="6"/>
    <x v="43"/>
    <x v="41"/>
    <x v="0"/>
    <x v="162"/>
    <x v="46"/>
    <x v="302"/>
    <x v="1"/>
    <x v="4"/>
    <x v="1"/>
    <x v="4"/>
    <x v="0"/>
  </r>
  <r>
    <x v="582"/>
    <x v="38"/>
    <x v="460"/>
    <x v="1"/>
    <x v="59"/>
    <x v="2"/>
    <x v="3"/>
    <x v="25"/>
    <x v="36"/>
    <x v="303"/>
    <x v="0"/>
    <x v="5"/>
    <x v="1"/>
    <x v="5"/>
    <x v="5"/>
  </r>
  <r>
    <x v="583"/>
    <x v="71"/>
    <x v="461"/>
    <x v="8"/>
    <x v="57"/>
    <x v="19"/>
    <x v="0"/>
    <x v="14"/>
    <x v="5"/>
    <x v="241"/>
    <x v="0"/>
    <x v="2"/>
    <x v="1"/>
    <x v="6"/>
    <x v="2"/>
  </r>
  <r>
    <x v="584"/>
    <x v="82"/>
    <x v="462"/>
    <x v="5"/>
    <x v="71"/>
    <x v="66"/>
    <x v="3"/>
    <x v="13"/>
    <x v="7"/>
    <x v="176"/>
    <x v="0"/>
    <x v="7"/>
    <x v="0"/>
    <x v="5"/>
    <x v="2"/>
  </r>
  <r>
    <x v="585"/>
    <x v="69"/>
    <x v="463"/>
    <x v="4"/>
    <x v="42"/>
    <x v="38"/>
    <x v="1"/>
    <x v="26"/>
    <x v="19"/>
    <x v="6"/>
    <x v="0"/>
    <x v="4"/>
    <x v="1"/>
    <x v="1"/>
    <x v="4"/>
  </r>
  <r>
    <x v="586"/>
    <x v="54"/>
    <x v="464"/>
    <x v="4"/>
    <x v="28"/>
    <x v="21"/>
    <x v="2"/>
    <x v="111"/>
    <x v="5"/>
    <x v="68"/>
    <x v="0"/>
    <x v="5"/>
    <x v="1"/>
    <x v="0"/>
    <x v="1"/>
  </r>
  <r>
    <x v="587"/>
    <x v="22"/>
    <x v="390"/>
    <x v="1"/>
    <x v="46"/>
    <x v="27"/>
    <x v="4"/>
    <x v="163"/>
    <x v="41"/>
    <x v="80"/>
    <x v="1"/>
    <x v="2"/>
    <x v="1"/>
    <x v="5"/>
    <x v="4"/>
  </r>
  <r>
    <x v="588"/>
    <x v="83"/>
    <x v="465"/>
    <x v="7"/>
    <x v="39"/>
    <x v="20"/>
    <x v="1"/>
    <x v="101"/>
    <x v="13"/>
    <x v="226"/>
    <x v="0"/>
    <x v="5"/>
    <x v="1"/>
    <x v="7"/>
    <x v="1"/>
  </r>
  <r>
    <x v="589"/>
    <x v="58"/>
    <x v="466"/>
    <x v="2"/>
    <x v="61"/>
    <x v="58"/>
    <x v="4"/>
    <x v="121"/>
    <x v="44"/>
    <x v="300"/>
    <x v="0"/>
    <x v="1"/>
    <x v="1"/>
    <x v="5"/>
    <x v="5"/>
  </r>
  <r>
    <x v="590"/>
    <x v="18"/>
    <x v="467"/>
    <x v="3"/>
    <x v="14"/>
    <x v="32"/>
    <x v="1"/>
    <x v="127"/>
    <x v="43"/>
    <x v="160"/>
    <x v="3"/>
    <x v="2"/>
    <x v="1"/>
    <x v="8"/>
    <x v="0"/>
  </r>
  <r>
    <x v="591"/>
    <x v="71"/>
    <x v="468"/>
    <x v="5"/>
    <x v="6"/>
    <x v="63"/>
    <x v="1"/>
    <x v="164"/>
    <x v="17"/>
    <x v="304"/>
    <x v="3"/>
    <x v="6"/>
    <x v="1"/>
    <x v="2"/>
    <x v="2"/>
  </r>
  <r>
    <x v="592"/>
    <x v="65"/>
    <x v="469"/>
    <x v="5"/>
    <x v="56"/>
    <x v="62"/>
    <x v="1"/>
    <x v="160"/>
    <x v="26"/>
    <x v="1"/>
    <x v="1"/>
    <x v="2"/>
    <x v="1"/>
    <x v="0"/>
    <x v="0"/>
  </r>
  <r>
    <x v="593"/>
    <x v="60"/>
    <x v="470"/>
    <x v="8"/>
    <x v="62"/>
    <x v="45"/>
    <x v="1"/>
    <x v="153"/>
    <x v="48"/>
    <x v="305"/>
    <x v="3"/>
    <x v="6"/>
    <x v="1"/>
    <x v="9"/>
    <x v="0"/>
  </r>
  <r>
    <x v="594"/>
    <x v="22"/>
    <x v="471"/>
    <x v="4"/>
    <x v="17"/>
    <x v="25"/>
    <x v="1"/>
    <x v="17"/>
    <x v="0"/>
    <x v="214"/>
    <x v="3"/>
    <x v="4"/>
    <x v="1"/>
    <x v="7"/>
    <x v="4"/>
  </r>
  <r>
    <x v="595"/>
    <x v="42"/>
    <x v="472"/>
    <x v="5"/>
    <x v="32"/>
    <x v="43"/>
    <x v="4"/>
    <x v="20"/>
    <x v="2"/>
    <x v="160"/>
    <x v="2"/>
    <x v="4"/>
    <x v="1"/>
    <x v="7"/>
    <x v="0"/>
  </r>
  <r>
    <x v="596"/>
    <x v="86"/>
    <x v="473"/>
    <x v="4"/>
    <x v="28"/>
    <x v="38"/>
    <x v="4"/>
    <x v="39"/>
    <x v="6"/>
    <x v="13"/>
    <x v="3"/>
    <x v="6"/>
    <x v="1"/>
    <x v="5"/>
    <x v="0"/>
  </r>
  <r>
    <x v="597"/>
    <x v="80"/>
    <x v="474"/>
    <x v="1"/>
    <x v="2"/>
    <x v="51"/>
    <x v="0"/>
    <x v="40"/>
    <x v="13"/>
    <x v="250"/>
    <x v="0"/>
    <x v="2"/>
    <x v="1"/>
    <x v="1"/>
    <x v="5"/>
  </r>
  <r>
    <x v="598"/>
    <x v="25"/>
    <x v="475"/>
    <x v="3"/>
    <x v="40"/>
    <x v="32"/>
    <x v="4"/>
    <x v="143"/>
    <x v="23"/>
    <x v="134"/>
    <x v="1"/>
    <x v="1"/>
    <x v="1"/>
    <x v="0"/>
    <x v="5"/>
  </r>
  <r>
    <x v="599"/>
    <x v="68"/>
    <x v="366"/>
    <x v="3"/>
    <x v="4"/>
    <x v="32"/>
    <x v="1"/>
    <x v="19"/>
    <x v="40"/>
    <x v="16"/>
    <x v="2"/>
    <x v="5"/>
    <x v="1"/>
    <x v="1"/>
    <x v="2"/>
  </r>
  <r>
    <x v="600"/>
    <x v="31"/>
    <x v="476"/>
    <x v="2"/>
    <x v="70"/>
    <x v="53"/>
    <x v="0"/>
    <x v="14"/>
    <x v="4"/>
    <x v="78"/>
    <x v="0"/>
    <x v="5"/>
    <x v="1"/>
    <x v="7"/>
    <x v="2"/>
  </r>
  <r>
    <x v="601"/>
    <x v="24"/>
    <x v="477"/>
    <x v="3"/>
    <x v="10"/>
    <x v="12"/>
    <x v="4"/>
    <x v="103"/>
    <x v="4"/>
    <x v="95"/>
    <x v="0"/>
    <x v="5"/>
    <x v="1"/>
    <x v="2"/>
    <x v="2"/>
  </r>
  <r>
    <x v="602"/>
    <x v="35"/>
    <x v="478"/>
    <x v="8"/>
    <x v="57"/>
    <x v="39"/>
    <x v="5"/>
    <x v="82"/>
    <x v="35"/>
    <x v="221"/>
    <x v="4"/>
    <x v="3"/>
    <x v="0"/>
    <x v="8"/>
    <x v="6"/>
  </r>
  <r>
    <x v="603"/>
    <x v="9"/>
    <x v="479"/>
    <x v="1"/>
    <x v="37"/>
    <x v="18"/>
    <x v="4"/>
    <x v="102"/>
    <x v="44"/>
    <x v="156"/>
    <x v="3"/>
    <x v="0"/>
    <x v="0"/>
    <x v="5"/>
    <x v="0"/>
  </r>
  <r>
    <x v="604"/>
    <x v="58"/>
    <x v="480"/>
    <x v="5"/>
    <x v="44"/>
    <x v="61"/>
    <x v="2"/>
    <x v="103"/>
    <x v="22"/>
    <x v="141"/>
    <x v="4"/>
    <x v="1"/>
    <x v="1"/>
    <x v="7"/>
    <x v="2"/>
  </r>
  <r>
    <x v="605"/>
    <x v="68"/>
    <x v="481"/>
    <x v="8"/>
    <x v="22"/>
    <x v="47"/>
    <x v="3"/>
    <x v="152"/>
    <x v="52"/>
    <x v="228"/>
    <x v="3"/>
    <x v="3"/>
    <x v="0"/>
    <x v="2"/>
    <x v="6"/>
  </r>
  <r>
    <x v="606"/>
    <x v="5"/>
    <x v="482"/>
    <x v="5"/>
    <x v="71"/>
    <x v="43"/>
    <x v="1"/>
    <x v="66"/>
    <x v="21"/>
    <x v="263"/>
    <x v="1"/>
    <x v="0"/>
    <x v="0"/>
    <x v="7"/>
    <x v="6"/>
  </r>
  <r>
    <x v="607"/>
    <x v="76"/>
    <x v="483"/>
    <x v="1"/>
    <x v="49"/>
    <x v="68"/>
    <x v="1"/>
    <x v="97"/>
    <x v="6"/>
    <x v="229"/>
    <x v="3"/>
    <x v="4"/>
    <x v="1"/>
    <x v="0"/>
    <x v="0"/>
  </r>
  <r>
    <x v="608"/>
    <x v="45"/>
    <x v="484"/>
    <x v="4"/>
    <x v="15"/>
    <x v="38"/>
    <x v="0"/>
    <x v="45"/>
    <x v="5"/>
    <x v="60"/>
    <x v="4"/>
    <x v="1"/>
    <x v="1"/>
    <x v="1"/>
    <x v="6"/>
  </r>
  <r>
    <x v="609"/>
    <x v="89"/>
    <x v="22"/>
    <x v="3"/>
    <x v="14"/>
    <x v="28"/>
    <x v="3"/>
    <x v="163"/>
    <x v="45"/>
    <x v="306"/>
    <x v="0"/>
    <x v="1"/>
    <x v="1"/>
    <x v="3"/>
    <x v="5"/>
  </r>
  <r>
    <x v="610"/>
    <x v="85"/>
    <x v="485"/>
    <x v="2"/>
    <x v="61"/>
    <x v="31"/>
    <x v="3"/>
    <x v="8"/>
    <x v="5"/>
    <x v="285"/>
    <x v="1"/>
    <x v="5"/>
    <x v="1"/>
    <x v="2"/>
    <x v="6"/>
  </r>
  <r>
    <x v="611"/>
    <x v="9"/>
    <x v="486"/>
    <x v="5"/>
    <x v="71"/>
    <x v="43"/>
    <x v="1"/>
    <x v="94"/>
    <x v="10"/>
    <x v="219"/>
    <x v="2"/>
    <x v="2"/>
    <x v="1"/>
    <x v="2"/>
    <x v="0"/>
  </r>
  <r>
    <x v="612"/>
    <x v="63"/>
    <x v="110"/>
    <x v="6"/>
    <x v="60"/>
    <x v="34"/>
    <x v="5"/>
    <x v="159"/>
    <x v="4"/>
    <x v="96"/>
    <x v="0"/>
    <x v="1"/>
    <x v="1"/>
    <x v="0"/>
    <x v="0"/>
  </r>
  <r>
    <x v="613"/>
    <x v="82"/>
    <x v="487"/>
    <x v="2"/>
    <x v="70"/>
    <x v="58"/>
    <x v="1"/>
    <x v="2"/>
    <x v="23"/>
    <x v="94"/>
    <x v="3"/>
    <x v="0"/>
    <x v="0"/>
    <x v="10"/>
    <x v="2"/>
  </r>
  <r>
    <x v="614"/>
    <x v="81"/>
    <x v="488"/>
    <x v="6"/>
    <x v="7"/>
    <x v="64"/>
    <x v="1"/>
    <x v="158"/>
    <x v="26"/>
    <x v="307"/>
    <x v="3"/>
    <x v="1"/>
    <x v="1"/>
    <x v="10"/>
    <x v="5"/>
  </r>
  <r>
    <x v="615"/>
    <x v="81"/>
    <x v="415"/>
    <x v="6"/>
    <x v="7"/>
    <x v="41"/>
    <x v="1"/>
    <x v="107"/>
    <x v="6"/>
    <x v="96"/>
    <x v="0"/>
    <x v="4"/>
    <x v="1"/>
    <x v="3"/>
    <x v="2"/>
  </r>
  <r>
    <x v="616"/>
    <x v="89"/>
    <x v="489"/>
    <x v="8"/>
    <x v="57"/>
    <x v="71"/>
    <x v="4"/>
    <x v="52"/>
    <x v="4"/>
    <x v="308"/>
    <x v="0"/>
    <x v="6"/>
    <x v="1"/>
    <x v="2"/>
    <x v="2"/>
  </r>
  <r>
    <x v="617"/>
    <x v="55"/>
    <x v="95"/>
    <x v="1"/>
    <x v="59"/>
    <x v="2"/>
    <x v="4"/>
    <x v="18"/>
    <x v="30"/>
    <x v="47"/>
    <x v="0"/>
    <x v="5"/>
    <x v="1"/>
    <x v="8"/>
    <x v="2"/>
  </r>
  <r>
    <x v="618"/>
    <x v="78"/>
    <x v="490"/>
    <x v="3"/>
    <x v="24"/>
    <x v="35"/>
    <x v="1"/>
    <x v="84"/>
    <x v="25"/>
    <x v="7"/>
    <x v="0"/>
    <x v="6"/>
    <x v="1"/>
    <x v="0"/>
    <x v="2"/>
  </r>
  <r>
    <x v="619"/>
    <x v="84"/>
    <x v="491"/>
    <x v="3"/>
    <x v="14"/>
    <x v="35"/>
    <x v="1"/>
    <x v="105"/>
    <x v="32"/>
    <x v="224"/>
    <x v="1"/>
    <x v="4"/>
    <x v="1"/>
    <x v="2"/>
    <x v="4"/>
  </r>
  <r>
    <x v="620"/>
    <x v="19"/>
    <x v="492"/>
    <x v="5"/>
    <x v="6"/>
    <x v="6"/>
    <x v="0"/>
    <x v="39"/>
    <x v="5"/>
    <x v="81"/>
    <x v="0"/>
    <x v="1"/>
    <x v="1"/>
    <x v="7"/>
    <x v="4"/>
  </r>
  <r>
    <x v="621"/>
    <x v="44"/>
    <x v="493"/>
    <x v="0"/>
    <x v="51"/>
    <x v="14"/>
    <x v="0"/>
    <x v="62"/>
    <x v="29"/>
    <x v="309"/>
    <x v="1"/>
    <x v="5"/>
    <x v="1"/>
    <x v="1"/>
    <x v="4"/>
  </r>
  <r>
    <x v="622"/>
    <x v="27"/>
    <x v="494"/>
    <x v="3"/>
    <x v="40"/>
    <x v="35"/>
    <x v="5"/>
    <x v="165"/>
    <x v="16"/>
    <x v="310"/>
    <x v="3"/>
    <x v="5"/>
    <x v="1"/>
    <x v="5"/>
    <x v="4"/>
  </r>
  <r>
    <x v="623"/>
    <x v="34"/>
    <x v="495"/>
    <x v="5"/>
    <x v="41"/>
    <x v="30"/>
    <x v="1"/>
    <x v="95"/>
    <x v="11"/>
    <x v="247"/>
    <x v="0"/>
    <x v="5"/>
    <x v="1"/>
    <x v="8"/>
    <x v="4"/>
  </r>
  <r>
    <x v="624"/>
    <x v="57"/>
    <x v="279"/>
    <x v="0"/>
    <x v="13"/>
    <x v="15"/>
    <x v="4"/>
    <x v="142"/>
    <x v="29"/>
    <x v="44"/>
    <x v="3"/>
    <x v="2"/>
    <x v="1"/>
    <x v="7"/>
    <x v="2"/>
  </r>
  <r>
    <x v="625"/>
    <x v="72"/>
    <x v="496"/>
    <x v="3"/>
    <x v="4"/>
    <x v="4"/>
    <x v="1"/>
    <x v="76"/>
    <x v="37"/>
    <x v="41"/>
    <x v="0"/>
    <x v="4"/>
    <x v="1"/>
    <x v="3"/>
    <x v="6"/>
  </r>
  <r>
    <x v="626"/>
    <x v="69"/>
    <x v="329"/>
    <x v="6"/>
    <x v="18"/>
    <x v="8"/>
    <x v="2"/>
    <x v="130"/>
    <x v="6"/>
    <x v="150"/>
    <x v="4"/>
    <x v="4"/>
    <x v="1"/>
    <x v="7"/>
    <x v="5"/>
  </r>
  <r>
    <x v="627"/>
    <x v="62"/>
    <x v="75"/>
    <x v="8"/>
    <x v="62"/>
    <x v="45"/>
    <x v="0"/>
    <x v="10"/>
    <x v="2"/>
    <x v="266"/>
    <x v="0"/>
    <x v="5"/>
    <x v="1"/>
    <x v="9"/>
    <x v="2"/>
  </r>
  <r>
    <x v="628"/>
    <x v="80"/>
    <x v="384"/>
    <x v="3"/>
    <x v="40"/>
    <x v="12"/>
    <x v="1"/>
    <x v="63"/>
    <x v="4"/>
    <x v="171"/>
    <x v="3"/>
    <x v="1"/>
    <x v="1"/>
    <x v="5"/>
    <x v="0"/>
  </r>
  <r>
    <x v="629"/>
    <x v="36"/>
    <x v="497"/>
    <x v="1"/>
    <x v="59"/>
    <x v="46"/>
    <x v="4"/>
    <x v="45"/>
    <x v="23"/>
    <x v="210"/>
    <x v="1"/>
    <x v="1"/>
    <x v="1"/>
    <x v="1"/>
    <x v="4"/>
  </r>
  <r>
    <x v="630"/>
    <x v="54"/>
    <x v="333"/>
    <x v="4"/>
    <x v="23"/>
    <x v="26"/>
    <x v="1"/>
    <x v="37"/>
    <x v="23"/>
    <x v="311"/>
    <x v="3"/>
    <x v="1"/>
    <x v="1"/>
    <x v="5"/>
    <x v="3"/>
  </r>
  <r>
    <x v="631"/>
    <x v="51"/>
    <x v="322"/>
    <x v="5"/>
    <x v="53"/>
    <x v="16"/>
    <x v="0"/>
    <x v="5"/>
    <x v="21"/>
    <x v="300"/>
    <x v="0"/>
    <x v="4"/>
    <x v="1"/>
    <x v="3"/>
    <x v="5"/>
  </r>
  <r>
    <x v="632"/>
    <x v="67"/>
    <x v="248"/>
    <x v="4"/>
    <x v="5"/>
    <x v="38"/>
    <x v="3"/>
    <x v="94"/>
    <x v="6"/>
    <x v="224"/>
    <x v="0"/>
    <x v="1"/>
    <x v="1"/>
    <x v="6"/>
    <x v="0"/>
  </r>
  <r>
    <x v="633"/>
    <x v="74"/>
    <x v="498"/>
    <x v="1"/>
    <x v="33"/>
    <x v="51"/>
    <x v="0"/>
    <x v="5"/>
    <x v="5"/>
    <x v="155"/>
    <x v="2"/>
    <x v="5"/>
    <x v="1"/>
    <x v="7"/>
    <x v="4"/>
  </r>
  <r>
    <x v="634"/>
    <x v="51"/>
    <x v="485"/>
    <x v="8"/>
    <x v="57"/>
    <x v="71"/>
    <x v="4"/>
    <x v="52"/>
    <x v="4"/>
    <x v="312"/>
    <x v="0"/>
    <x v="5"/>
    <x v="1"/>
    <x v="7"/>
    <x v="4"/>
  </r>
  <r>
    <x v="635"/>
    <x v="58"/>
    <x v="499"/>
    <x v="0"/>
    <x v="19"/>
    <x v="22"/>
    <x v="1"/>
    <x v="118"/>
    <x v="36"/>
    <x v="7"/>
    <x v="0"/>
    <x v="2"/>
    <x v="1"/>
    <x v="0"/>
    <x v="4"/>
  </r>
  <r>
    <x v="636"/>
    <x v="68"/>
    <x v="500"/>
    <x v="1"/>
    <x v="1"/>
    <x v="18"/>
    <x v="0"/>
    <x v="0"/>
    <x v="0"/>
    <x v="176"/>
    <x v="0"/>
    <x v="6"/>
    <x v="1"/>
    <x v="7"/>
    <x v="1"/>
  </r>
  <r>
    <x v="637"/>
    <x v="37"/>
    <x v="501"/>
    <x v="2"/>
    <x v="55"/>
    <x v="67"/>
    <x v="4"/>
    <x v="103"/>
    <x v="21"/>
    <x v="209"/>
    <x v="1"/>
    <x v="2"/>
    <x v="1"/>
    <x v="7"/>
    <x v="0"/>
  </r>
  <r>
    <x v="638"/>
    <x v="58"/>
    <x v="502"/>
    <x v="6"/>
    <x v="48"/>
    <x v="34"/>
    <x v="4"/>
    <x v="7"/>
    <x v="43"/>
    <x v="127"/>
    <x v="1"/>
    <x v="1"/>
    <x v="1"/>
    <x v="5"/>
    <x v="3"/>
  </r>
  <r>
    <x v="639"/>
    <x v="10"/>
    <x v="340"/>
    <x v="0"/>
    <x v="11"/>
    <x v="22"/>
    <x v="4"/>
    <x v="15"/>
    <x v="43"/>
    <x v="156"/>
    <x v="0"/>
    <x v="1"/>
    <x v="1"/>
    <x v="1"/>
    <x v="3"/>
  </r>
  <r>
    <x v="640"/>
    <x v="8"/>
    <x v="319"/>
    <x v="4"/>
    <x v="5"/>
    <x v="21"/>
    <x v="3"/>
    <x v="9"/>
    <x v="43"/>
    <x v="301"/>
    <x v="0"/>
    <x v="6"/>
    <x v="1"/>
    <x v="4"/>
    <x v="5"/>
  </r>
  <r>
    <x v="641"/>
    <x v="9"/>
    <x v="336"/>
    <x v="5"/>
    <x v="32"/>
    <x v="63"/>
    <x v="2"/>
    <x v="68"/>
    <x v="7"/>
    <x v="85"/>
    <x v="1"/>
    <x v="4"/>
    <x v="1"/>
    <x v="3"/>
    <x v="1"/>
  </r>
  <r>
    <x v="642"/>
    <x v="69"/>
    <x v="503"/>
    <x v="8"/>
    <x v="54"/>
    <x v="19"/>
    <x v="2"/>
    <x v="36"/>
    <x v="23"/>
    <x v="82"/>
    <x v="0"/>
    <x v="2"/>
    <x v="1"/>
    <x v="3"/>
    <x v="2"/>
  </r>
  <r>
    <x v="643"/>
    <x v="51"/>
    <x v="98"/>
    <x v="8"/>
    <x v="57"/>
    <x v="39"/>
    <x v="4"/>
    <x v="107"/>
    <x v="7"/>
    <x v="93"/>
    <x v="2"/>
    <x v="5"/>
    <x v="1"/>
    <x v="2"/>
    <x v="2"/>
  </r>
  <r>
    <x v="644"/>
    <x v="31"/>
    <x v="253"/>
    <x v="4"/>
    <x v="20"/>
    <x v="70"/>
    <x v="1"/>
    <x v="21"/>
    <x v="6"/>
    <x v="313"/>
    <x v="3"/>
    <x v="4"/>
    <x v="1"/>
    <x v="2"/>
    <x v="2"/>
  </r>
  <r>
    <x v="645"/>
    <x v="1"/>
    <x v="504"/>
    <x v="1"/>
    <x v="49"/>
    <x v="1"/>
    <x v="1"/>
    <x v="0"/>
    <x v="19"/>
    <x v="141"/>
    <x v="0"/>
    <x v="3"/>
    <x v="0"/>
    <x v="5"/>
    <x v="3"/>
  </r>
  <r>
    <x v="646"/>
    <x v="27"/>
    <x v="505"/>
    <x v="0"/>
    <x v="19"/>
    <x v="15"/>
    <x v="1"/>
    <x v="52"/>
    <x v="4"/>
    <x v="124"/>
    <x v="0"/>
    <x v="1"/>
    <x v="1"/>
    <x v="8"/>
    <x v="3"/>
  </r>
  <r>
    <x v="647"/>
    <x v="14"/>
    <x v="506"/>
    <x v="2"/>
    <x v="55"/>
    <x v="67"/>
    <x v="4"/>
    <x v="52"/>
    <x v="4"/>
    <x v="314"/>
    <x v="3"/>
    <x v="2"/>
    <x v="1"/>
    <x v="5"/>
    <x v="4"/>
  </r>
  <r>
    <x v="648"/>
    <x v="63"/>
    <x v="4"/>
    <x v="8"/>
    <x v="54"/>
    <x v="47"/>
    <x v="1"/>
    <x v="36"/>
    <x v="23"/>
    <x v="300"/>
    <x v="0"/>
    <x v="4"/>
    <x v="1"/>
    <x v="1"/>
    <x v="5"/>
  </r>
  <r>
    <x v="649"/>
    <x v="57"/>
    <x v="141"/>
    <x v="5"/>
    <x v="41"/>
    <x v="62"/>
    <x v="2"/>
    <x v="2"/>
    <x v="23"/>
    <x v="152"/>
    <x v="3"/>
    <x v="4"/>
    <x v="1"/>
    <x v="2"/>
    <x v="6"/>
  </r>
  <r>
    <x v="650"/>
    <x v="11"/>
    <x v="109"/>
    <x v="1"/>
    <x v="46"/>
    <x v="37"/>
    <x v="1"/>
    <x v="137"/>
    <x v="1"/>
    <x v="179"/>
    <x v="1"/>
    <x v="7"/>
    <x v="0"/>
    <x v="1"/>
    <x v="4"/>
  </r>
  <r>
    <x v="651"/>
    <x v="49"/>
    <x v="507"/>
    <x v="6"/>
    <x v="7"/>
    <x v="41"/>
    <x v="0"/>
    <x v="133"/>
    <x v="4"/>
    <x v="267"/>
    <x v="1"/>
    <x v="4"/>
    <x v="1"/>
    <x v="7"/>
    <x v="2"/>
  </r>
  <r>
    <x v="652"/>
    <x v="49"/>
    <x v="508"/>
    <x v="5"/>
    <x v="41"/>
    <x v="63"/>
    <x v="1"/>
    <x v="31"/>
    <x v="0"/>
    <x v="180"/>
    <x v="0"/>
    <x v="2"/>
    <x v="1"/>
    <x v="2"/>
    <x v="6"/>
  </r>
  <r>
    <x v="653"/>
    <x v="68"/>
    <x v="509"/>
    <x v="8"/>
    <x v="57"/>
    <x v="44"/>
    <x v="1"/>
    <x v="63"/>
    <x v="37"/>
    <x v="127"/>
    <x v="0"/>
    <x v="1"/>
    <x v="1"/>
    <x v="5"/>
    <x v="2"/>
  </r>
  <r>
    <x v="654"/>
    <x v="7"/>
    <x v="510"/>
    <x v="2"/>
    <x v="3"/>
    <x v="31"/>
    <x v="1"/>
    <x v="134"/>
    <x v="21"/>
    <x v="209"/>
    <x v="4"/>
    <x v="3"/>
    <x v="0"/>
    <x v="3"/>
    <x v="0"/>
  </r>
  <r>
    <x v="655"/>
    <x v="21"/>
    <x v="178"/>
    <x v="5"/>
    <x v="68"/>
    <x v="61"/>
    <x v="1"/>
    <x v="39"/>
    <x v="23"/>
    <x v="93"/>
    <x v="0"/>
    <x v="1"/>
    <x v="1"/>
    <x v="3"/>
    <x v="3"/>
  </r>
  <r>
    <x v="656"/>
    <x v="67"/>
    <x v="511"/>
    <x v="2"/>
    <x v="30"/>
    <x v="58"/>
    <x v="1"/>
    <x v="44"/>
    <x v="5"/>
    <x v="40"/>
    <x v="3"/>
    <x v="4"/>
    <x v="1"/>
    <x v="5"/>
    <x v="2"/>
  </r>
  <r>
    <x v="657"/>
    <x v="88"/>
    <x v="512"/>
    <x v="2"/>
    <x v="3"/>
    <x v="31"/>
    <x v="0"/>
    <x v="74"/>
    <x v="21"/>
    <x v="160"/>
    <x v="3"/>
    <x v="2"/>
    <x v="1"/>
    <x v="8"/>
    <x v="0"/>
  </r>
  <r>
    <x v="658"/>
    <x v="65"/>
    <x v="513"/>
    <x v="3"/>
    <x v="24"/>
    <x v="32"/>
    <x v="0"/>
    <x v="13"/>
    <x v="24"/>
    <x v="108"/>
    <x v="1"/>
    <x v="2"/>
    <x v="1"/>
    <x v="2"/>
    <x v="0"/>
  </r>
  <r>
    <x v="659"/>
    <x v="64"/>
    <x v="514"/>
    <x v="0"/>
    <x v="51"/>
    <x v="15"/>
    <x v="0"/>
    <x v="74"/>
    <x v="4"/>
    <x v="74"/>
    <x v="0"/>
    <x v="6"/>
    <x v="1"/>
    <x v="5"/>
    <x v="6"/>
  </r>
  <r>
    <x v="660"/>
    <x v="68"/>
    <x v="407"/>
    <x v="2"/>
    <x v="31"/>
    <x v="59"/>
    <x v="1"/>
    <x v="42"/>
    <x v="46"/>
    <x v="252"/>
    <x v="0"/>
    <x v="1"/>
    <x v="1"/>
    <x v="7"/>
    <x v="2"/>
  </r>
  <r>
    <x v="661"/>
    <x v="80"/>
    <x v="515"/>
    <x v="5"/>
    <x v="41"/>
    <x v="30"/>
    <x v="0"/>
    <x v="143"/>
    <x v="30"/>
    <x v="240"/>
    <x v="3"/>
    <x v="7"/>
    <x v="0"/>
    <x v="2"/>
    <x v="4"/>
  </r>
  <r>
    <x v="662"/>
    <x v="84"/>
    <x v="516"/>
    <x v="2"/>
    <x v="8"/>
    <x v="3"/>
    <x v="4"/>
    <x v="130"/>
    <x v="22"/>
    <x v="156"/>
    <x v="3"/>
    <x v="4"/>
    <x v="1"/>
    <x v="5"/>
    <x v="2"/>
  </r>
  <r>
    <x v="663"/>
    <x v="82"/>
    <x v="517"/>
    <x v="0"/>
    <x v="65"/>
    <x v="33"/>
    <x v="4"/>
    <x v="52"/>
    <x v="4"/>
    <x v="258"/>
    <x v="0"/>
    <x v="5"/>
    <x v="1"/>
    <x v="3"/>
    <x v="6"/>
  </r>
  <r>
    <x v="664"/>
    <x v="47"/>
    <x v="518"/>
    <x v="3"/>
    <x v="29"/>
    <x v="35"/>
    <x v="0"/>
    <x v="122"/>
    <x v="35"/>
    <x v="315"/>
    <x v="0"/>
    <x v="1"/>
    <x v="1"/>
    <x v="2"/>
    <x v="4"/>
  </r>
  <r>
    <x v="665"/>
    <x v="65"/>
    <x v="519"/>
    <x v="1"/>
    <x v="33"/>
    <x v="68"/>
    <x v="2"/>
    <x v="44"/>
    <x v="25"/>
    <x v="72"/>
    <x v="3"/>
    <x v="1"/>
    <x v="1"/>
    <x v="3"/>
    <x v="2"/>
  </r>
  <r>
    <x v="666"/>
    <x v="81"/>
    <x v="520"/>
    <x v="7"/>
    <x v="63"/>
    <x v="60"/>
    <x v="1"/>
    <x v="137"/>
    <x v="25"/>
    <x v="113"/>
    <x v="3"/>
    <x v="6"/>
    <x v="1"/>
    <x v="7"/>
    <x v="2"/>
  </r>
  <r>
    <x v="667"/>
    <x v="2"/>
    <x v="521"/>
    <x v="3"/>
    <x v="25"/>
    <x v="28"/>
    <x v="5"/>
    <x v="159"/>
    <x v="4"/>
    <x v="311"/>
    <x v="0"/>
    <x v="6"/>
    <x v="1"/>
    <x v="7"/>
    <x v="3"/>
  </r>
  <r>
    <x v="668"/>
    <x v="46"/>
    <x v="522"/>
    <x v="1"/>
    <x v="33"/>
    <x v="37"/>
    <x v="2"/>
    <x v="26"/>
    <x v="6"/>
    <x v="229"/>
    <x v="1"/>
    <x v="6"/>
    <x v="1"/>
    <x v="1"/>
    <x v="2"/>
  </r>
  <r>
    <x v="669"/>
    <x v="24"/>
    <x v="523"/>
    <x v="4"/>
    <x v="15"/>
    <x v="38"/>
    <x v="2"/>
    <x v="79"/>
    <x v="7"/>
    <x v="316"/>
    <x v="1"/>
    <x v="1"/>
    <x v="1"/>
    <x v="5"/>
    <x v="6"/>
  </r>
  <r>
    <x v="670"/>
    <x v="6"/>
    <x v="493"/>
    <x v="7"/>
    <x v="39"/>
    <x v="60"/>
    <x v="1"/>
    <x v="52"/>
    <x v="21"/>
    <x v="239"/>
    <x v="0"/>
    <x v="5"/>
    <x v="1"/>
    <x v="3"/>
    <x v="0"/>
  </r>
  <r>
    <x v="671"/>
    <x v="5"/>
    <x v="524"/>
    <x v="6"/>
    <x v="43"/>
    <x v="65"/>
    <x v="4"/>
    <x v="130"/>
    <x v="30"/>
    <x v="180"/>
    <x v="3"/>
    <x v="1"/>
    <x v="1"/>
    <x v="5"/>
    <x v="5"/>
  </r>
  <r>
    <x v="672"/>
    <x v="64"/>
    <x v="525"/>
    <x v="7"/>
    <x v="69"/>
    <x v="24"/>
    <x v="4"/>
    <x v="14"/>
    <x v="5"/>
    <x v="45"/>
    <x v="0"/>
    <x v="2"/>
    <x v="1"/>
    <x v="1"/>
    <x v="0"/>
  </r>
  <r>
    <x v="673"/>
    <x v="49"/>
    <x v="526"/>
    <x v="6"/>
    <x v="60"/>
    <x v="64"/>
    <x v="3"/>
    <x v="52"/>
    <x v="4"/>
    <x v="164"/>
    <x v="0"/>
    <x v="4"/>
    <x v="1"/>
    <x v="5"/>
    <x v="5"/>
  </r>
  <r>
    <x v="674"/>
    <x v="79"/>
    <x v="527"/>
    <x v="0"/>
    <x v="19"/>
    <x v="0"/>
    <x v="1"/>
    <x v="159"/>
    <x v="22"/>
    <x v="295"/>
    <x v="0"/>
    <x v="6"/>
    <x v="1"/>
    <x v="7"/>
    <x v="4"/>
  </r>
  <r>
    <x v="675"/>
    <x v="60"/>
    <x v="528"/>
    <x v="5"/>
    <x v="41"/>
    <x v="66"/>
    <x v="1"/>
    <x v="60"/>
    <x v="5"/>
    <x v="197"/>
    <x v="1"/>
    <x v="2"/>
    <x v="1"/>
    <x v="10"/>
    <x v="5"/>
  </r>
  <r>
    <x v="676"/>
    <x v="10"/>
    <x v="495"/>
    <x v="0"/>
    <x v="11"/>
    <x v="33"/>
    <x v="1"/>
    <x v="29"/>
    <x v="43"/>
    <x v="7"/>
    <x v="0"/>
    <x v="5"/>
    <x v="1"/>
    <x v="1"/>
    <x v="0"/>
  </r>
  <r>
    <x v="677"/>
    <x v="81"/>
    <x v="529"/>
    <x v="6"/>
    <x v="35"/>
    <x v="34"/>
    <x v="1"/>
    <x v="49"/>
    <x v="13"/>
    <x v="128"/>
    <x v="0"/>
    <x v="0"/>
    <x v="0"/>
    <x v="1"/>
    <x v="0"/>
  </r>
  <r>
    <x v="678"/>
    <x v="51"/>
    <x v="530"/>
    <x v="4"/>
    <x v="20"/>
    <x v="5"/>
    <x v="0"/>
    <x v="102"/>
    <x v="21"/>
    <x v="317"/>
    <x v="0"/>
    <x v="5"/>
    <x v="1"/>
    <x v="3"/>
    <x v="3"/>
  </r>
  <r>
    <x v="679"/>
    <x v="56"/>
    <x v="531"/>
    <x v="8"/>
    <x v="38"/>
    <x v="71"/>
    <x v="0"/>
    <x v="40"/>
    <x v="19"/>
    <x v="48"/>
    <x v="0"/>
    <x v="5"/>
    <x v="1"/>
    <x v="2"/>
    <x v="3"/>
  </r>
  <r>
    <x v="680"/>
    <x v="11"/>
    <x v="252"/>
    <x v="7"/>
    <x v="58"/>
    <x v="50"/>
    <x v="4"/>
    <x v="40"/>
    <x v="6"/>
    <x v="145"/>
    <x v="1"/>
    <x v="2"/>
    <x v="1"/>
    <x v="5"/>
    <x v="1"/>
  </r>
  <r>
    <x v="681"/>
    <x v="31"/>
    <x v="532"/>
    <x v="0"/>
    <x v="36"/>
    <x v="33"/>
    <x v="4"/>
    <x v="66"/>
    <x v="19"/>
    <x v="73"/>
    <x v="0"/>
    <x v="6"/>
    <x v="1"/>
    <x v="0"/>
    <x v="1"/>
  </r>
  <r>
    <x v="682"/>
    <x v="71"/>
    <x v="533"/>
    <x v="2"/>
    <x v="55"/>
    <x v="31"/>
    <x v="3"/>
    <x v="166"/>
    <x v="53"/>
    <x v="318"/>
    <x v="0"/>
    <x v="6"/>
    <x v="1"/>
    <x v="4"/>
    <x v="4"/>
  </r>
  <r>
    <x v="683"/>
    <x v="5"/>
    <x v="534"/>
    <x v="8"/>
    <x v="54"/>
    <x v="71"/>
    <x v="1"/>
    <x v="34"/>
    <x v="0"/>
    <x v="161"/>
    <x v="0"/>
    <x v="2"/>
    <x v="1"/>
    <x v="8"/>
    <x v="2"/>
  </r>
  <r>
    <x v="684"/>
    <x v="55"/>
    <x v="96"/>
    <x v="4"/>
    <x v="17"/>
    <x v="13"/>
    <x v="0"/>
    <x v="58"/>
    <x v="4"/>
    <x v="127"/>
    <x v="0"/>
    <x v="2"/>
    <x v="1"/>
    <x v="5"/>
    <x v="4"/>
  </r>
  <r>
    <x v="685"/>
    <x v="11"/>
    <x v="107"/>
    <x v="3"/>
    <x v="4"/>
    <x v="28"/>
    <x v="2"/>
    <x v="0"/>
    <x v="21"/>
    <x v="226"/>
    <x v="1"/>
    <x v="0"/>
    <x v="0"/>
    <x v="3"/>
    <x v="4"/>
  </r>
  <r>
    <x v="686"/>
    <x v="31"/>
    <x v="535"/>
    <x v="5"/>
    <x v="68"/>
    <x v="61"/>
    <x v="1"/>
    <x v="12"/>
    <x v="24"/>
    <x v="103"/>
    <x v="3"/>
    <x v="4"/>
    <x v="1"/>
    <x v="1"/>
    <x v="3"/>
  </r>
  <r>
    <x v="687"/>
    <x v="40"/>
    <x v="69"/>
    <x v="3"/>
    <x v="45"/>
    <x v="9"/>
    <x v="1"/>
    <x v="40"/>
    <x v="43"/>
    <x v="294"/>
    <x v="0"/>
    <x v="2"/>
    <x v="1"/>
    <x v="3"/>
    <x v="3"/>
  </r>
  <r>
    <x v="688"/>
    <x v="54"/>
    <x v="536"/>
    <x v="8"/>
    <x v="54"/>
    <x v="39"/>
    <x v="2"/>
    <x v="22"/>
    <x v="8"/>
    <x v="139"/>
    <x v="2"/>
    <x v="0"/>
    <x v="0"/>
    <x v="7"/>
    <x v="3"/>
  </r>
  <r>
    <x v="689"/>
    <x v="42"/>
    <x v="145"/>
    <x v="4"/>
    <x v="28"/>
    <x v="13"/>
    <x v="1"/>
    <x v="167"/>
    <x v="52"/>
    <x v="84"/>
    <x v="0"/>
    <x v="4"/>
    <x v="1"/>
    <x v="0"/>
    <x v="2"/>
  </r>
  <r>
    <x v="690"/>
    <x v="83"/>
    <x v="537"/>
    <x v="4"/>
    <x v="42"/>
    <x v="25"/>
    <x v="1"/>
    <x v="76"/>
    <x v="23"/>
    <x v="74"/>
    <x v="0"/>
    <x v="0"/>
    <x v="0"/>
    <x v="0"/>
    <x v="5"/>
  </r>
  <r>
    <x v="691"/>
    <x v="55"/>
    <x v="538"/>
    <x v="3"/>
    <x v="25"/>
    <x v="9"/>
    <x v="0"/>
    <x v="164"/>
    <x v="11"/>
    <x v="319"/>
    <x v="3"/>
    <x v="2"/>
    <x v="1"/>
    <x v="7"/>
    <x v="2"/>
  </r>
  <r>
    <x v="692"/>
    <x v="39"/>
    <x v="539"/>
    <x v="1"/>
    <x v="59"/>
    <x v="2"/>
    <x v="4"/>
    <x v="58"/>
    <x v="19"/>
    <x v="45"/>
    <x v="3"/>
    <x v="1"/>
    <x v="1"/>
    <x v="2"/>
    <x v="0"/>
  </r>
  <r>
    <x v="693"/>
    <x v="87"/>
    <x v="540"/>
    <x v="6"/>
    <x v="60"/>
    <x v="41"/>
    <x v="2"/>
    <x v="17"/>
    <x v="12"/>
    <x v="212"/>
    <x v="3"/>
    <x v="6"/>
    <x v="1"/>
    <x v="8"/>
    <x v="5"/>
  </r>
  <r>
    <x v="694"/>
    <x v="3"/>
    <x v="541"/>
    <x v="7"/>
    <x v="67"/>
    <x v="54"/>
    <x v="0"/>
    <x v="66"/>
    <x v="4"/>
    <x v="55"/>
    <x v="1"/>
    <x v="1"/>
    <x v="1"/>
    <x v="7"/>
    <x v="0"/>
  </r>
  <r>
    <x v="695"/>
    <x v="2"/>
    <x v="284"/>
    <x v="8"/>
    <x v="54"/>
    <x v="36"/>
    <x v="5"/>
    <x v="109"/>
    <x v="40"/>
    <x v="320"/>
    <x v="2"/>
    <x v="6"/>
    <x v="1"/>
    <x v="0"/>
    <x v="4"/>
  </r>
  <r>
    <x v="696"/>
    <x v="36"/>
    <x v="542"/>
    <x v="5"/>
    <x v="56"/>
    <x v="61"/>
    <x v="3"/>
    <x v="94"/>
    <x v="5"/>
    <x v="49"/>
    <x v="0"/>
    <x v="5"/>
    <x v="1"/>
    <x v="3"/>
    <x v="2"/>
  </r>
  <r>
    <x v="697"/>
    <x v="21"/>
    <x v="76"/>
    <x v="0"/>
    <x v="0"/>
    <x v="49"/>
    <x v="1"/>
    <x v="63"/>
    <x v="21"/>
    <x v="52"/>
    <x v="1"/>
    <x v="1"/>
    <x v="1"/>
    <x v="5"/>
    <x v="6"/>
  </r>
  <r>
    <x v="698"/>
    <x v="24"/>
    <x v="389"/>
    <x v="1"/>
    <x v="37"/>
    <x v="1"/>
    <x v="2"/>
    <x v="74"/>
    <x v="24"/>
    <x v="47"/>
    <x v="0"/>
    <x v="5"/>
    <x v="1"/>
    <x v="2"/>
    <x v="2"/>
  </r>
  <r>
    <x v="699"/>
    <x v="77"/>
    <x v="543"/>
    <x v="8"/>
    <x v="62"/>
    <x v="44"/>
    <x v="4"/>
    <x v="118"/>
    <x v="43"/>
    <x v="141"/>
    <x v="1"/>
    <x v="1"/>
    <x v="1"/>
    <x v="5"/>
    <x v="4"/>
  </r>
  <r>
    <x v="700"/>
    <x v="70"/>
    <x v="544"/>
    <x v="3"/>
    <x v="25"/>
    <x v="9"/>
    <x v="0"/>
    <x v="96"/>
    <x v="15"/>
    <x v="321"/>
    <x v="1"/>
    <x v="0"/>
    <x v="0"/>
    <x v="3"/>
    <x v="0"/>
  </r>
  <r>
    <x v="701"/>
    <x v="8"/>
    <x v="96"/>
    <x v="7"/>
    <x v="50"/>
    <x v="54"/>
    <x v="5"/>
    <x v="85"/>
    <x v="32"/>
    <x v="322"/>
    <x v="3"/>
    <x v="2"/>
    <x v="1"/>
    <x v="3"/>
    <x v="3"/>
  </r>
  <r>
    <x v="702"/>
    <x v="88"/>
    <x v="195"/>
    <x v="5"/>
    <x v="32"/>
    <x v="61"/>
    <x v="4"/>
    <x v="54"/>
    <x v="6"/>
    <x v="133"/>
    <x v="2"/>
    <x v="4"/>
    <x v="1"/>
    <x v="5"/>
    <x v="2"/>
  </r>
  <r>
    <x v="703"/>
    <x v="26"/>
    <x v="161"/>
    <x v="1"/>
    <x v="46"/>
    <x v="46"/>
    <x v="1"/>
    <x v="102"/>
    <x v="12"/>
    <x v="136"/>
    <x v="0"/>
    <x v="2"/>
    <x v="1"/>
    <x v="1"/>
    <x v="8"/>
  </r>
  <r>
    <x v="704"/>
    <x v="78"/>
    <x v="545"/>
    <x v="7"/>
    <x v="67"/>
    <x v="40"/>
    <x v="1"/>
    <x v="28"/>
    <x v="19"/>
    <x v="149"/>
    <x v="1"/>
    <x v="1"/>
    <x v="1"/>
    <x v="4"/>
    <x v="3"/>
  </r>
  <r>
    <x v="705"/>
    <x v="38"/>
    <x v="121"/>
    <x v="3"/>
    <x v="24"/>
    <x v="4"/>
    <x v="4"/>
    <x v="14"/>
    <x v="6"/>
    <x v="227"/>
    <x v="0"/>
    <x v="2"/>
    <x v="1"/>
    <x v="5"/>
    <x v="2"/>
  </r>
  <r>
    <x v="706"/>
    <x v="14"/>
    <x v="142"/>
    <x v="4"/>
    <x v="5"/>
    <x v="70"/>
    <x v="1"/>
    <x v="142"/>
    <x v="23"/>
    <x v="323"/>
    <x v="1"/>
    <x v="5"/>
    <x v="1"/>
    <x v="5"/>
    <x v="5"/>
  </r>
  <r>
    <x v="707"/>
    <x v="59"/>
    <x v="254"/>
    <x v="1"/>
    <x v="59"/>
    <x v="18"/>
    <x v="0"/>
    <x v="69"/>
    <x v="21"/>
    <x v="56"/>
    <x v="0"/>
    <x v="7"/>
    <x v="0"/>
    <x v="1"/>
    <x v="2"/>
  </r>
  <r>
    <x v="708"/>
    <x v="84"/>
    <x v="546"/>
    <x v="2"/>
    <x v="55"/>
    <x v="67"/>
    <x v="4"/>
    <x v="76"/>
    <x v="6"/>
    <x v="79"/>
    <x v="1"/>
    <x v="6"/>
    <x v="1"/>
    <x v="5"/>
    <x v="4"/>
  </r>
  <r>
    <x v="709"/>
    <x v="78"/>
    <x v="0"/>
    <x v="4"/>
    <x v="5"/>
    <x v="25"/>
    <x v="3"/>
    <x v="150"/>
    <x v="47"/>
    <x v="319"/>
    <x v="0"/>
    <x v="0"/>
    <x v="0"/>
    <x v="2"/>
    <x v="3"/>
  </r>
  <r>
    <x v="710"/>
    <x v="45"/>
    <x v="228"/>
    <x v="3"/>
    <x v="40"/>
    <x v="23"/>
    <x v="2"/>
    <x v="21"/>
    <x v="19"/>
    <x v="39"/>
    <x v="4"/>
    <x v="1"/>
    <x v="1"/>
    <x v="5"/>
    <x v="8"/>
  </r>
  <r>
    <x v="711"/>
    <x v="53"/>
    <x v="547"/>
    <x v="1"/>
    <x v="21"/>
    <x v="51"/>
    <x v="0"/>
    <x v="6"/>
    <x v="0"/>
    <x v="41"/>
    <x v="0"/>
    <x v="2"/>
    <x v="1"/>
    <x v="4"/>
    <x v="2"/>
  </r>
  <r>
    <x v="712"/>
    <x v="9"/>
    <x v="435"/>
    <x v="6"/>
    <x v="60"/>
    <x v="34"/>
    <x v="4"/>
    <x v="126"/>
    <x v="1"/>
    <x v="210"/>
    <x v="2"/>
    <x v="2"/>
    <x v="1"/>
    <x v="0"/>
    <x v="2"/>
  </r>
  <r>
    <x v="713"/>
    <x v="38"/>
    <x v="131"/>
    <x v="7"/>
    <x v="12"/>
    <x v="60"/>
    <x v="1"/>
    <x v="111"/>
    <x v="22"/>
    <x v="28"/>
    <x v="1"/>
    <x v="4"/>
    <x v="1"/>
    <x v="5"/>
    <x v="5"/>
  </r>
  <r>
    <x v="714"/>
    <x v="80"/>
    <x v="548"/>
    <x v="3"/>
    <x v="4"/>
    <x v="52"/>
    <x v="4"/>
    <x v="58"/>
    <x v="4"/>
    <x v="45"/>
    <x v="3"/>
    <x v="6"/>
    <x v="1"/>
    <x v="7"/>
    <x v="2"/>
  </r>
  <r>
    <x v="715"/>
    <x v="43"/>
    <x v="166"/>
    <x v="5"/>
    <x v="68"/>
    <x v="6"/>
    <x v="1"/>
    <x v="154"/>
    <x v="33"/>
    <x v="324"/>
    <x v="2"/>
    <x v="4"/>
    <x v="1"/>
    <x v="5"/>
    <x v="6"/>
  </r>
  <r>
    <x v="716"/>
    <x v="64"/>
    <x v="549"/>
    <x v="2"/>
    <x v="61"/>
    <x v="3"/>
    <x v="1"/>
    <x v="13"/>
    <x v="5"/>
    <x v="113"/>
    <x v="0"/>
    <x v="5"/>
    <x v="1"/>
    <x v="4"/>
    <x v="0"/>
  </r>
  <r>
    <x v="717"/>
    <x v="40"/>
    <x v="550"/>
    <x v="5"/>
    <x v="32"/>
    <x v="16"/>
    <x v="4"/>
    <x v="133"/>
    <x v="4"/>
    <x v="325"/>
    <x v="0"/>
    <x v="2"/>
    <x v="1"/>
    <x v="8"/>
    <x v="0"/>
  </r>
  <r>
    <x v="718"/>
    <x v="0"/>
    <x v="379"/>
    <x v="3"/>
    <x v="25"/>
    <x v="52"/>
    <x v="4"/>
    <x v="130"/>
    <x v="22"/>
    <x v="160"/>
    <x v="2"/>
    <x v="5"/>
    <x v="1"/>
    <x v="1"/>
    <x v="5"/>
  </r>
  <r>
    <x v="719"/>
    <x v="75"/>
    <x v="101"/>
    <x v="3"/>
    <x v="45"/>
    <x v="35"/>
    <x v="5"/>
    <x v="51"/>
    <x v="10"/>
    <x v="326"/>
    <x v="1"/>
    <x v="0"/>
    <x v="0"/>
    <x v="7"/>
    <x v="0"/>
  </r>
  <r>
    <x v="720"/>
    <x v="8"/>
    <x v="184"/>
    <x v="0"/>
    <x v="36"/>
    <x v="0"/>
    <x v="2"/>
    <x v="87"/>
    <x v="22"/>
    <x v="197"/>
    <x v="3"/>
    <x v="1"/>
    <x v="1"/>
    <x v="1"/>
    <x v="0"/>
  </r>
  <r>
    <x v="721"/>
    <x v="34"/>
    <x v="488"/>
    <x v="6"/>
    <x v="43"/>
    <x v="56"/>
    <x v="4"/>
    <x v="40"/>
    <x v="5"/>
    <x v="62"/>
    <x v="0"/>
    <x v="1"/>
    <x v="1"/>
    <x v="1"/>
    <x v="5"/>
  </r>
  <r>
    <x v="722"/>
    <x v="59"/>
    <x v="551"/>
    <x v="1"/>
    <x v="37"/>
    <x v="27"/>
    <x v="1"/>
    <x v="22"/>
    <x v="38"/>
    <x v="196"/>
    <x v="0"/>
    <x v="4"/>
    <x v="1"/>
    <x v="3"/>
    <x v="2"/>
  </r>
  <r>
    <x v="723"/>
    <x v="31"/>
    <x v="552"/>
    <x v="1"/>
    <x v="37"/>
    <x v="1"/>
    <x v="0"/>
    <x v="28"/>
    <x v="37"/>
    <x v="327"/>
    <x v="0"/>
    <x v="6"/>
    <x v="1"/>
    <x v="0"/>
    <x v="4"/>
  </r>
  <r>
    <x v="724"/>
    <x v="26"/>
    <x v="553"/>
    <x v="6"/>
    <x v="18"/>
    <x v="56"/>
    <x v="1"/>
    <x v="10"/>
    <x v="1"/>
    <x v="291"/>
    <x v="0"/>
    <x v="1"/>
    <x v="1"/>
    <x v="2"/>
    <x v="4"/>
  </r>
  <r>
    <x v="725"/>
    <x v="18"/>
    <x v="252"/>
    <x v="5"/>
    <x v="32"/>
    <x v="6"/>
    <x v="1"/>
    <x v="115"/>
    <x v="38"/>
    <x v="212"/>
    <x v="1"/>
    <x v="2"/>
    <x v="1"/>
    <x v="0"/>
    <x v="5"/>
  </r>
  <r>
    <x v="726"/>
    <x v="62"/>
    <x v="463"/>
    <x v="0"/>
    <x v="51"/>
    <x v="14"/>
    <x v="4"/>
    <x v="52"/>
    <x v="4"/>
    <x v="12"/>
    <x v="0"/>
    <x v="4"/>
    <x v="1"/>
    <x v="1"/>
    <x v="4"/>
  </r>
  <r>
    <x v="727"/>
    <x v="71"/>
    <x v="220"/>
    <x v="0"/>
    <x v="65"/>
    <x v="49"/>
    <x v="0"/>
    <x v="168"/>
    <x v="59"/>
    <x v="328"/>
    <x v="0"/>
    <x v="4"/>
    <x v="1"/>
    <x v="3"/>
    <x v="4"/>
  </r>
  <r>
    <x v="728"/>
    <x v="23"/>
    <x v="554"/>
    <x v="8"/>
    <x v="34"/>
    <x v="44"/>
    <x v="0"/>
    <x v="8"/>
    <x v="10"/>
    <x v="311"/>
    <x v="3"/>
    <x v="2"/>
    <x v="1"/>
    <x v="8"/>
    <x v="2"/>
  </r>
  <r>
    <x v="729"/>
    <x v="15"/>
    <x v="199"/>
    <x v="5"/>
    <x v="41"/>
    <x v="16"/>
    <x v="4"/>
    <x v="101"/>
    <x v="6"/>
    <x v="329"/>
    <x v="2"/>
    <x v="1"/>
    <x v="1"/>
    <x v="1"/>
    <x v="3"/>
  </r>
  <r>
    <x v="730"/>
    <x v="16"/>
    <x v="555"/>
    <x v="1"/>
    <x v="1"/>
    <x v="37"/>
    <x v="3"/>
    <x v="38"/>
    <x v="6"/>
    <x v="270"/>
    <x v="0"/>
    <x v="0"/>
    <x v="0"/>
    <x v="3"/>
    <x v="0"/>
  </r>
  <r>
    <x v="731"/>
    <x v="48"/>
    <x v="362"/>
    <x v="1"/>
    <x v="21"/>
    <x v="68"/>
    <x v="0"/>
    <x v="52"/>
    <x v="4"/>
    <x v="66"/>
    <x v="1"/>
    <x v="2"/>
    <x v="1"/>
    <x v="7"/>
    <x v="3"/>
  </r>
  <r>
    <x v="732"/>
    <x v="54"/>
    <x v="218"/>
    <x v="3"/>
    <x v="40"/>
    <x v="12"/>
    <x v="1"/>
    <x v="15"/>
    <x v="0"/>
    <x v="41"/>
    <x v="1"/>
    <x v="4"/>
    <x v="1"/>
    <x v="0"/>
    <x v="3"/>
  </r>
  <r>
    <x v="733"/>
    <x v="30"/>
    <x v="556"/>
    <x v="1"/>
    <x v="33"/>
    <x v="18"/>
    <x v="2"/>
    <x v="13"/>
    <x v="10"/>
    <x v="273"/>
    <x v="1"/>
    <x v="4"/>
    <x v="1"/>
    <x v="8"/>
    <x v="4"/>
  </r>
  <r>
    <x v="734"/>
    <x v="10"/>
    <x v="557"/>
    <x v="1"/>
    <x v="1"/>
    <x v="46"/>
    <x v="3"/>
    <x v="160"/>
    <x v="33"/>
    <x v="26"/>
    <x v="3"/>
    <x v="5"/>
    <x v="1"/>
    <x v="0"/>
    <x v="5"/>
  </r>
  <r>
    <x v="735"/>
    <x v="72"/>
    <x v="424"/>
    <x v="5"/>
    <x v="41"/>
    <x v="30"/>
    <x v="1"/>
    <x v="158"/>
    <x v="38"/>
    <x v="224"/>
    <x v="1"/>
    <x v="2"/>
    <x v="1"/>
    <x v="0"/>
    <x v="5"/>
  </r>
  <r>
    <x v="736"/>
    <x v="50"/>
    <x v="558"/>
    <x v="5"/>
    <x v="68"/>
    <x v="43"/>
    <x v="1"/>
    <x v="7"/>
    <x v="5"/>
    <x v="219"/>
    <x v="0"/>
    <x v="0"/>
    <x v="0"/>
    <x v="5"/>
    <x v="4"/>
  </r>
  <r>
    <x v="737"/>
    <x v="68"/>
    <x v="140"/>
    <x v="6"/>
    <x v="9"/>
    <x v="56"/>
    <x v="1"/>
    <x v="34"/>
    <x v="6"/>
    <x v="309"/>
    <x v="1"/>
    <x v="5"/>
    <x v="1"/>
    <x v="0"/>
    <x v="4"/>
  </r>
  <r>
    <x v="738"/>
    <x v="49"/>
    <x v="559"/>
    <x v="8"/>
    <x v="38"/>
    <x v="47"/>
    <x v="1"/>
    <x v="29"/>
    <x v="22"/>
    <x v="15"/>
    <x v="1"/>
    <x v="7"/>
    <x v="0"/>
    <x v="7"/>
    <x v="4"/>
  </r>
  <r>
    <x v="739"/>
    <x v="35"/>
    <x v="90"/>
    <x v="6"/>
    <x v="35"/>
    <x v="34"/>
    <x v="2"/>
    <x v="29"/>
    <x v="7"/>
    <x v="53"/>
    <x v="0"/>
    <x v="2"/>
    <x v="1"/>
    <x v="2"/>
    <x v="3"/>
  </r>
  <r>
    <x v="740"/>
    <x v="45"/>
    <x v="216"/>
    <x v="8"/>
    <x v="38"/>
    <x v="19"/>
    <x v="0"/>
    <x v="82"/>
    <x v="14"/>
    <x v="330"/>
    <x v="2"/>
    <x v="4"/>
    <x v="1"/>
    <x v="2"/>
    <x v="4"/>
  </r>
  <r>
    <x v="741"/>
    <x v="22"/>
    <x v="560"/>
    <x v="2"/>
    <x v="70"/>
    <x v="67"/>
    <x v="4"/>
    <x v="159"/>
    <x v="21"/>
    <x v="170"/>
    <x v="2"/>
    <x v="5"/>
    <x v="1"/>
    <x v="1"/>
    <x v="2"/>
  </r>
  <r>
    <x v="742"/>
    <x v="22"/>
    <x v="463"/>
    <x v="3"/>
    <x v="40"/>
    <x v="52"/>
    <x v="4"/>
    <x v="52"/>
    <x v="4"/>
    <x v="45"/>
    <x v="3"/>
    <x v="4"/>
    <x v="1"/>
    <x v="7"/>
    <x v="0"/>
  </r>
  <r>
    <x v="743"/>
    <x v="26"/>
    <x v="169"/>
    <x v="7"/>
    <x v="67"/>
    <x v="50"/>
    <x v="0"/>
    <x v="107"/>
    <x v="7"/>
    <x v="1"/>
    <x v="0"/>
    <x v="5"/>
    <x v="1"/>
    <x v="7"/>
    <x v="1"/>
  </r>
  <r>
    <x v="744"/>
    <x v="33"/>
    <x v="561"/>
    <x v="6"/>
    <x v="7"/>
    <x v="8"/>
    <x v="1"/>
    <x v="97"/>
    <x v="19"/>
    <x v="210"/>
    <x v="3"/>
    <x v="6"/>
    <x v="1"/>
    <x v="0"/>
    <x v="2"/>
  </r>
  <r>
    <x v="745"/>
    <x v="59"/>
    <x v="508"/>
    <x v="6"/>
    <x v="43"/>
    <x v="34"/>
    <x v="2"/>
    <x v="169"/>
    <x v="49"/>
    <x v="319"/>
    <x v="0"/>
    <x v="2"/>
    <x v="1"/>
    <x v="7"/>
    <x v="0"/>
  </r>
  <r>
    <x v="746"/>
    <x v="77"/>
    <x v="344"/>
    <x v="2"/>
    <x v="61"/>
    <x v="3"/>
    <x v="3"/>
    <x v="14"/>
    <x v="5"/>
    <x v="114"/>
    <x v="0"/>
    <x v="5"/>
    <x v="1"/>
    <x v="5"/>
    <x v="5"/>
  </r>
  <r>
    <x v="747"/>
    <x v="11"/>
    <x v="188"/>
    <x v="5"/>
    <x v="68"/>
    <x v="43"/>
    <x v="1"/>
    <x v="12"/>
    <x v="4"/>
    <x v="227"/>
    <x v="3"/>
    <x v="2"/>
    <x v="1"/>
    <x v="1"/>
    <x v="0"/>
  </r>
  <r>
    <x v="748"/>
    <x v="37"/>
    <x v="562"/>
    <x v="2"/>
    <x v="61"/>
    <x v="53"/>
    <x v="4"/>
    <x v="57"/>
    <x v="2"/>
    <x v="40"/>
    <x v="0"/>
    <x v="5"/>
    <x v="1"/>
    <x v="3"/>
    <x v="0"/>
  </r>
  <r>
    <x v="749"/>
    <x v="52"/>
    <x v="563"/>
    <x v="1"/>
    <x v="59"/>
    <x v="27"/>
    <x v="1"/>
    <x v="36"/>
    <x v="12"/>
    <x v="179"/>
    <x v="3"/>
    <x v="4"/>
    <x v="1"/>
    <x v="3"/>
    <x v="2"/>
  </r>
  <r>
    <x v="750"/>
    <x v="24"/>
    <x v="564"/>
    <x v="3"/>
    <x v="14"/>
    <x v="32"/>
    <x v="5"/>
    <x v="20"/>
    <x v="10"/>
    <x v="19"/>
    <x v="1"/>
    <x v="0"/>
    <x v="0"/>
    <x v="7"/>
    <x v="3"/>
  </r>
  <r>
    <x v="751"/>
    <x v="38"/>
    <x v="509"/>
    <x v="7"/>
    <x v="12"/>
    <x v="60"/>
    <x v="4"/>
    <x v="52"/>
    <x v="4"/>
    <x v="145"/>
    <x v="3"/>
    <x v="1"/>
    <x v="1"/>
    <x v="0"/>
    <x v="7"/>
  </r>
  <r>
    <x v="752"/>
    <x v="21"/>
    <x v="565"/>
    <x v="2"/>
    <x v="3"/>
    <x v="29"/>
    <x v="1"/>
    <x v="0"/>
    <x v="4"/>
    <x v="62"/>
    <x v="3"/>
    <x v="5"/>
    <x v="1"/>
    <x v="1"/>
    <x v="2"/>
  </r>
  <r>
    <x v="753"/>
    <x v="79"/>
    <x v="56"/>
    <x v="4"/>
    <x v="15"/>
    <x v="70"/>
    <x v="0"/>
    <x v="132"/>
    <x v="1"/>
    <x v="112"/>
    <x v="3"/>
    <x v="0"/>
    <x v="0"/>
    <x v="7"/>
    <x v="3"/>
  </r>
  <r>
    <x v="754"/>
    <x v="24"/>
    <x v="161"/>
    <x v="7"/>
    <x v="67"/>
    <x v="11"/>
    <x v="4"/>
    <x v="132"/>
    <x v="8"/>
    <x v="327"/>
    <x v="1"/>
    <x v="2"/>
    <x v="1"/>
    <x v="2"/>
    <x v="2"/>
  </r>
  <r>
    <x v="755"/>
    <x v="59"/>
    <x v="566"/>
    <x v="0"/>
    <x v="19"/>
    <x v="0"/>
    <x v="0"/>
    <x v="62"/>
    <x v="10"/>
    <x v="70"/>
    <x v="0"/>
    <x v="6"/>
    <x v="1"/>
    <x v="5"/>
    <x v="5"/>
  </r>
  <r>
    <x v="756"/>
    <x v="82"/>
    <x v="299"/>
    <x v="1"/>
    <x v="1"/>
    <x v="2"/>
    <x v="1"/>
    <x v="39"/>
    <x v="22"/>
    <x v="55"/>
    <x v="0"/>
    <x v="2"/>
    <x v="1"/>
    <x v="1"/>
    <x v="4"/>
  </r>
  <r>
    <x v="757"/>
    <x v="17"/>
    <x v="426"/>
    <x v="1"/>
    <x v="21"/>
    <x v="2"/>
    <x v="0"/>
    <x v="15"/>
    <x v="29"/>
    <x v="116"/>
    <x v="3"/>
    <x v="5"/>
    <x v="1"/>
    <x v="0"/>
    <x v="6"/>
  </r>
  <r>
    <x v="758"/>
    <x v="37"/>
    <x v="567"/>
    <x v="3"/>
    <x v="24"/>
    <x v="4"/>
    <x v="4"/>
    <x v="10"/>
    <x v="17"/>
    <x v="164"/>
    <x v="1"/>
    <x v="7"/>
    <x v="0"/>
    <x v="0"/>
    <x v="2"/>
  </r>
  <r>
    <x v="759"/>
    <x v="11"/>
    <x v="568"/>
    <x v="6"/>
    <x v="60"/>
    <x v="48"/>
    <x v="1"/>
    <x v="57"/>
    <x v="1"/>
    <x v="331"/>
    <x v="0"/>
    <x v="5"/>
    <x v="1"/>
    <x v="4"/>
    <x v="0"/>
  </r>
  <r>
    <x v="760"/>
    <x v="34"/>
    <x v="562"/>
    <x v="4"/>
    <x v="42"/>
    <x v="5"/>
    <x v="1"/>
    <x v="127"/>
    <x v="10"/>
    <x v="171"/>
    <x v="3"/>
    <x v="5"/>
    <x v="1"/>
    <x v="1"/>
    <x v="8"/>
  </r>
  <r>
    <x v="761"/>
    <x v="68"/>
    <x v="569"/>
    <x v="3"/>
    <x v="29"/>
    <x v="4"/>
    <x v="1"/>
    <x v="13"/>
    <x v="13"/>
    <x v="0"/>
    <x v="3"/>
    <x v="2"/>
    <x v="1"/>
    <x v="0"/>
    <x v="2"/>
  </r>
  <r>
    <x v="762"/>
    <x v="67"/>
    <x v="375"/>
    <x v="0"/>
    <x v="13"/>
    <x v="10"/>
    <x v="2"/>
    <x v="128"/>
    <x v="47"/>
    <x v="9"/>
    <x v="0"/>
    <x v="1"/>
    <x v="1"/>
    <x v="0"/>
    <x v="2"/>
  </r>
  <r>
    <x v="763"/>
    <x v="59"/>
    <x v="279"/>
    <x v="1"/>
    <x v="2"/>
    <x v="2"/>
    <x v="4"/>
    <x v="78"/>
    <x v="12"/>
    <x v="56"/>
    <x v="0"/>
    <x v="2"/>
    <x v="1"/>
    <x v="3"/>
    <x v="4"/>
  </r>
  <r>
    <x v="764"/>
    <x v="34"/>
    <x v="570"/>
    <x v="3"/>
    <x v="40"/>
    <x v="4"/>
    <x v="3"/>
    <x v="1"/>
    <x v="15"/>
    <x v="301"/>
    <x v="1"/>
    <x v="6"/>
    <x v="1"/>
    <x v="0"/>
    <x v="4"/>
  </r>
  <r>
    <x v="765"/>
    <x v="88"/>
    <x v="571"/>
    <x v="5"/>
    <x v="53"/>
    <x v="66"/>
    <x v="1"/>
    <x v="62"/>
    <x v="43"/>
    <x v="250"/>
    <x v="0"/>
    <x v="4"/>
    <x v="1"/>
    <x v="5"/>
    <x v="3"/>
  </r>
  <r>
    <x v="766"/>
    <x v="82"/>
    <x v="337"/>
    <x v="5"/>
    <x v="53"/>
    <x v="63"/>
    <x v="1"/>
    <x v="13"/>
    <x v="0"/>
    <x v="113"/>
    <x v="0"/>
    <x v="1"/>
    <x v="1"/>
    <x v="2"/>
    <x v="5"/>
  </r>
  <r>
    <x v="767"/>
    <x v="26"/>
    <x v="572"/>
    <x v="2"/>
    <x v="55"/>
    <x v="67"/>
    <x v="4"/>
    <x v="50"/>
    <x v="2"/>
    <x v="134"/>
    <x v="0"/>
    <x v="0"/>
    <x v="0"/>
    <x v="7"/>
    <x v="0"/>
  </r>
  <r>
    <x v="768"/>
    <x v="49"/>
    <x v="573"/>
    <x v="0"/>
    <x v="0"/>
    <x v="33"/>
    <x v="1"/>
    <x v="121"/>
    <x v="2"/>
    <x v="296"/>
    <x v="0"/>
    <x v="2"/>
    <x v="1"/>
    <x v="3"/>
    <x v="5"/>
  </r>
  <r>
    <x v="769"/>
    <x v="46"/>
    <x v="574"/>
    <x v="0"/>
    <x v="51"/>
    <x v="15"/>
    <x v="5"/>
    <x v="52"/>
    <x v="4"/>
    <x v="53"/>
    <x v="0"/>
    <x v="0"/>
    <x v="0"/>
    <x v="7"/>
    <x v="5"/>
  </r>
  <r>
    <x v="770"/>
    <x v="44"/>
    <x v="396"/>
    <x v="0"/>
    <x v="13"/>
    <x v="49"/>
    <x v="1"/>
    <x v="79"/>
    <x v="6"/>
    <x v="94"/>
    <x v="2"/>
    <x v="6"/>
    <x v="1"/>
    <x v="1"/>
    <x v="4"/>
  </r>
  <r>
    <x v="771"/>
    <x v="52"/>
    <x v="575"/>
    <x v="0"/>
    <x v="51"/>
    <x v="33"/>
    <x v="1"/>
    <x v="105"/>
    <x v="46"/>
    <x v="332"/>
    <x v="0"/>
    <x v="0"/>
    <x v="0"/>
    <x v="0"/>
    <x v="5"/>
  </r>
  <r>
    <x v="772"/>
    <x v="32"/>
    <x v="509"/>
    <x v="6"/>
    <x v="48"/>
    <x v="7"/>
    <x v="3"/>
    <x v="127"/>
    <x v="24"/>
    <x v="81"/>
    <x v="0"/>
    <x v="1"/>
    <x v="1"/>
    <x v="5"/>
    <x v="3"/>
  </r>
  <r>
    <x v="773"/>
    <x v="45"/>
    <x v="576"/>
    <x v="5"/>
    <x v="53"/>
    <x v="43"/>
    <x v="1"/>
    <x v="29"/>
    <x v="5"/>
    <x v="160"/>
    <x v="0"/>
    <x v="1"/>
    <x v="1"/>
    <x v="3"/>
    <x v="3"/>
  </r>
  <r>
    <x v="774"/>
    <x v="3"/>
    <x v="107"/>
    <x v="2"/>
    <x v="3"/>
    <x v="53"/>
    <x v="1"/>
    <x v="170"/>
    <x v="60"/>
    <x v="333"/>
    <x v="0"/>
    <x v="0"/>
    <x v="0"/>
    <x v="7"/>
    <x v="0"/>
  </r>
  <r>
    <x v="775"/>
    <x v="9"/>
    <x v="177"/>
    <x v="7"/>
    <x v="12"/>
    <x v="24"/>
    <x v="3"/>
    <x v="92"/>
    <x v="8"/>
    <x v="334"/>
    <x v="2"/>
    <x v="5"/>
    <x v="1"/>
    <x v="4"/>
    <x v="2"/>
  </r>
  <r>
    <x v="776"/>
    <x v="0"/>
    <x v="392"/>
    <x v="6"/>
    <x v="27"/>
    <x v="7"/>
    <x v="3"/>
    <x v="38"/>
    <x v="37"/>
    <x v="164"/>
    <x v="2"/>
    <x v="2"/>
    <x v="1"/>
    <x v="0"/>
    <x v="3"/>
  </r>
  <r>
    <x v="777"/>
    <x v="22"/>
    <x v="577"/>
    <x v="1"/>
    <x v="21"/>
    <x v="18"/>
    <x v="3"/>
    <x v="46"/>
    <x v="6"/>
    <x v="0"/>
    <x v="1"/>
    <x v="4"/>
    <x v="1"/>
    <x v="1"/>
    <x v="4"/>
  </r>
  <r>
    <x v="778"/>
    <x v="85"/>
    <x v="6"/>
    <x v="6"/>
    <x v="18"/>
    <x v="48"/>
    <x v="1"/>
    <x v="74"/>
    <x v="19"/>
    <x v="92"/>
    <x v="1"/>
    <x v="6"/>
    <x v="1"/>
    <x v="4"/>
    <x v="5"/>
  </r>
  <r>
    <x v="779"/>
    <x v="64"/>
    <x v="20"/>
    <x v="5"/>
    <x v="71"/>
    <x v="62"/>
    <x v="1"/>
    <x v="17"/>
    <x v="29"/>
    <x v="58"/>
    <x v="0"/>
    <x v="1"/>
    <x v="1"/>
    <x v="8"/>
    <x v="3"/>
  </r>
  <r>
    <x v="780"/>
    <x v="73"/>
    <x v="1"/>
    <x v="7"/>
    <x v="63"/>
    <x v="50"/>
    <x v="0"/>
    <x v="68"/>
    <x v="23"/>
    <x v="165"/>
    <x v="0"/>
    <x v="1"/>
    <x v="1"/>
    <x v="5"/>
    <x v="4"/>
  </r>
  <r>
    <x v="781"/>
    <x v="24"/>
    <x v="578"/>
    <x v="6"/>
    <x v="9"/>
    <x v="64"/>
    <x v="1"/>
    <x v="123"/>
    <x v="38"/>
    <x v="335"/>
    <x v="5"/>
    <x v="2"/>
    <x v="1"/>
    <x v="2"/>
    <x v="2"/>
  </r>
  <r>
    <x v="782"/>
    <x v="8"/>
    <x v="56"/>
    <x v="8"/>
    <x v="54"/>
    <x v="71"/>
    <x v="5"/>
    <x v="159"/>
    <x v="37"/>
    <x v="293"/>
    <x v="0"/>
    <x v="0"/>
    <x v="0"/>
    <x v="0"/>
    <x v="0"/>
  </r>
  <r>
    <x v="783"/>
    <x v="14"/>
    <x v="565"/>
    <x v="0"/>
    <x v="0"/>
    <x v="49"/>
    <x v="1"/>
    <x v="69"/>
    <x v="19"/>
    <x v="93"/>
    <x v="0"/>
    <x v="5"/>
    <x v="1"/>
    <x v="4"/>
    <x v="0"/>
  </r>
  <r>
    <x v="784"/>
    <x v="56"/>
    <x v="445"/>
    <x v="2"/>
    <x v="31"/>
    <x v="59"/>
    <x v="1"/>
    <x v="32"/>
    <x v="52"/>
    <x v="72"/>
    <x v="3"/>
    <x v="1"/>
    <x v="1"/>
    <x v="5"/>
    <x v="0"/>
  </r>
  <r>
    <x v="785"/>
    <x v="20"/>
    <x v="569"/>
    <x v="1"/>
    <x v="37"/>
    <x v="68"/>
    <x v="2"/>
    <x v="46"/>
    <x v="43"/>
    <x v="316"/>
    <x v="3"/>
    <x v="2"/>
    <x v="1"/>
    <x v="4"/>
    <x v="1"/>
  </r>
  <r>
    <x v="786"/>
    <x v="5"/>
    <x v="579"/>
    <x v="8"/>
    <x v="57"/>
    <x v="57"/>
    <x v="4"/>
    <x v="52"/>
    <x v="24"/>
    <x v="73"/>
    <x v="3"/>
    <x v="1"/>
    <x v="1"/>
    <x v="5"/>
    <x v="2"/>
  </r>
  <r>
    <x v="787"/>
    <x v="11"/>
    <x v="580"/>
    <x v="7"/>
    <x v="63"/>
    <x v="24"/>
    <x v="1"/>
    <x v="32"/>
    <x v="36"/>
    <x v="336"/>
    <x v="0"/>
    <x v="5"/>
    <x v="1"/>
    <x v="7"/>
    <x v="0"/>
  </r>
  <r>
    <x v="788"/>
    <x v="57"/>
    <x v="350"/>
    <x v="0"/>
    <x v="13"/>
    <x v="15"/>
    <x v="2"/>
    <x v="73"/>
    <x v="22"/>
    <x v="14"/>
    <x v="0"/>
    <x v="4"/>
    <x v="1"/>
    <x v="0"/>
    <x v="5"/>
  </r>
  <r>
    <x v="789"/>
    <x v="76"/>
    <x v="548"/>
    <x v="2"/>
    <x v="66"/>
    <x v="69"/>
    <x v="2"/>
    <x v="127"/>
    <x v="5"/>
    <x v="36"/>
    <x v="0"/>
    <x v="6"/>
    <x v="1"/>
    <x v="0"/>
    <x v="3"/>
  </r>
  <r>
    <x v="790"/>
    <x v="48"/>
    <x v="235"/>
    <x v="4"/>
    <x v="20"/>
    <x v="17"/>
    <x v="2"/>
    <x v="68"/>
    <x v="6"/>
    <x v="23"/>
    <x v="3"/>
    <x v="6"/>
    <x v="1"/>
    <x v="7"/>
    <x v="4"/>
  </r>
  <r>
    <x v="791"/>
    <x v="77"/>
    <x v="581"/>
    <x v="6"/>
    <x v="35"/>
    <x v="65"/>
    <x v="1"/>
    <x v="36"/>
    <x v="6"/>
    <x v="286"/>
    <x v="0"/>
    <x v="2"/>
    <x v="1"/>
    <x v="8"/>
    <x v="2"/>
  </r>
  <r>
    <x v="792"/>
    <x v="73"/>
    <x v="275"/>
    <x v="5"/>
    <x v="32"/>
    <x v="16"/>
    <x v="1"/>
    <x v="65"/>
    <x v="0"/>
    <x v="89"/>
    <x v="3"/>
    <x v="6"/>
    <x v="1"/>
    <x v="3"/>
    <x v="6"/>
  </r>
  <r>
    <x v="793"/>
    <x v="7"/>
    <x v="582"/>
    <x v="5"/>
    <x v="53"/>
    <x v="62"/>
    <x v="5"/>
    <x v="79"/>
    <x v="5"/>
    <x v="337"/>
    <x v="1"/>
    <x v="5"/>
    <x v="1"/>
    <x v="0"/>
    <x v="4"/>
  </r>
  <r>
    <x v="794"/>
    <x v="35"/>
    <x v="583"/>
    <x v="3"/>
    <x v="29"/>
    <x v="9"/>
    <x v="1"/>
    <x v="51"/>
    <x v="23"/>
    <x v="98"/>
    <x v="3"/>
    <x v="4"/>
    <x v="1"/>
    <x v="5"/>
    <x v="4"/>
  </r>
  <r>
    <x v="795"/>
    <x v="83"/>
    <x v="571"/>
    <x v="8"/>
    <x v="57"/>
    <x v="36"/>
    <x v="1"/>
    <x v="4"/>
    <x v="5"/>
    <x v="15"/>
    <x v="2"/>
    <x v="4"/>
    <x v="1"/>
    <x v="3"/>
    <x v="6"/>
  </r>
  <r>
    <x v="796"/>
    <x v="5"/>
    <x v="209"/>
    <x v="2"/>
    <x v="30"/>
    <x v="58"/>
    <x v="4"/>
    <x v="45"/>
    <x v="43"/>
    <x v="210"/>
    <x v="0"/>
    <x v="0"/>
    <x v="0"/>
    <x v="7"/>
    <x v="2"/>
  </r>
  <r>
    <x v="797"/>
    <x v="61"/>
    <x v="554"/>
    <x v="6"/>
    <x v="43"/>
    <x v="8"/>
    <x v="4"/>
    <x v="167"/>
    <x v="42"/>
    <x v="231"/>
    <x v="0"/>
    <x v="2"/>
    <x v="1"/>
    <x v="3"/>
    <x v="4"/>
  </r>
  <r>
    <x v="798"/>
    <x v="7"/>
    <x v="584"/>
    <x v="1"/>
    <x v="33"/>
    <x v="51"/>
    <x v="0"/>
    <x v="102"/>
    <x v="30"/>
    <x v="70"/>
    <x v="0"/>
    <x v="7"/>
    <x v="0"/>
    <x v="2"/>
    <x v="2"/>
  </r>
  <r>
    <x v="799"/>
    <x v="73"/>
    <x v="585"/>
    <x v="2"/>
    <x v="61"/>
    <x v="31"/>
    <x v="0"/>
    <x v="51"/>
    <x v="10"/>
    <x v="338"/>
    <x v="1"/>
    <x v="4"/>
    <x v="1"/>
    <x v="7"/>
    <x v="4"/>
  </r>
  <r>
    <x v="800"/>
    <x v="73"/>
    <x v="141"/>
    <x v="0"/>
    <x v="11"/>
    <x v="42"/>
    <x v="1"/>
    <x v="9"/>
    <x v="1"/>
    <x v="152"/>
    <x v="0"/>
    <x v="4"/>
    <x v="1"/>
    <x v="5"/>
    <x v="3"/>
  </r>
  <r>
    <x v="801"/>
    <x v="58"/>
    <x v="576"/>
    <x v="6"/>
    <x v="27"/>
    <x v="7"/>
    <x v="3"/>
    <x v="108"/>
    <x v="36"/>
    <x v="339"/>
    <x v="0"/>
    <x v="1"/>
    <x v="1"/>
    <x v="5"/>
    <x v="5"/>
  </r>
  <r>
    <x v="802"/>
    <x v="40"/>
    <x v="586"/>
    <x v="7"/>
    <x v="63"/>
    <x v="50"/>
    <x v="5"/>
    <x v="52"/>
    <x v="4"/>
    <x v="85"/>
    <x v="0"/>
    <x v="1"/>
    <x v="1"/>
    <x v="4"/>
    <x v="4"/>
  </r>
  <r>
    <x v="803"/>
    <x v="24"/>
    <x v="587"/>
    <x v="1"/>
    <x v="37"/>
    <x v="1"/>
    <x v="1"/>
    <x v="52"/>
    <x v="7"/>
    <x v="79"/>
    <x v="3"/>
    <x v="5"/>
    <x v="1"/>
    <x v="7"/>
    <x v="2"/>
  </r>
  <r>
    <x v="804"/>
    <x v="86"/>
    <x v="588"/>
    <x v="7"/>
    <x v="69"/>
    <x v="24"/>
    <x v="2"/>
    <x v="38"/>
    <x v="7"/>
    <x v="66"/>
    <x v="0"/>
    <x v="4"/>
    <x v="1"/>
    <x v="5"/>
    <x v="0"/>
  </r>
  <r>
    <x v="805"/>
    <x v="32"/>
    <x v="589"/>
    <x v="5"/>
    <x v="56"/>
    <x v="66"/>
    <x v="2"/>
    <x v="76"/>
    <x v="24"/>
    <x v="167"/>
    <x v="1"/>
    <x v="6"/>
    <x v="1"/>
    <x v="2"/>
    <x v="2"/>
  </r>
  <r>
    <x v="806"/>
    <x v="51"/>
    <x v="590"/>
    <x v="1"/>
    <x v="37"/>
    <x v="18"/>
    <x v="1"/>
    <x v="47"/>
    <x v="21"/>
    <x v="15"/>
    <x v="0"/>
    <x v="0"/>
    <x v="0"/>
    <x v="5"/>
    <x v="0"/>
  </r>
  <r>
    <x v="807"/>
    <x v="87"/>
    <x v="591"/>
    <x v="5"/>
    <x v="56"/>
    <x v="63"/>
    <x v="4"/>
    <x v="4"/>
    <x v="4"/>
    <x v="308"/>
    <x v="1"/>
    <x v="4"/>
    <x v="1"/>
    <x v="2"/>
    <x v="5"/>
  </r>
  <r>
    <x v="808"/>
    <x v="81"/>
    <x v="419"/>
    <x v="6"/>
    <x v="48"/>
    <x v="41"/>
    <x v="0"/>
    <x v="14"/>
    <x v="21"/>
    <x v="35"/>
    <x v="0"/>
    <x v="6"/>
    <x v="1"/>
    <x v="1"/>
    <x v="3"/>
  </r>
  <r>
    <x v="809"/>
    <x v="24"/>
    <x v="592"/>
    <x v="2"/>
    <x v="70"/>
    <x v="69"/>
    <x v="3"/>
    <x v="44"/>
    <x v="36"/>
    <x v="39"/>
    <x v="0"/>
    <x v="3"/>
    <x v="0"/>
    <x v="5"/>
    <x v="0"/>
  </r>
  <r>
    <x v="810"/>
    <x v="63"/>
    <x v="161"/>
    <x v="1"/>
    <x v="21"/>
    <x v="51"/>
    <x v="3"/>
    <x v="60"/>
    <x v="0"/>
    <x v="340"/>
    <x v="0"/>
    <x v="2"/>
    <x v="1"/>
    <x v="5"/>
    <x v="4"/>
  </r>
  <r>
    <x v="811"/>
    <x v="63"/>
    <x v="593"/>
    <x v="3"/>
    <x v="25"/>
    <x v="28"/>
    <x v="2"/>
    <x v="36"/>
    <x v="0"/>
    <x v="88"/>
    <x v="1"/>
    <x v="5"/>
    <x v="1"/>
    <x v="4"/>
    <x v="0"/>
  </r>
  <r>
    <x v="812"/>
    <x v="49"/>
    <x v="408"/>
    <x v="7"/>
    <x v="39"/>
    <x v="20"/>
    <x v="1"/>
    <x v="81"/>
    <x v="7"/>
    <x v="53"/>
    <x v="0"/>
    <x v="0"/>
    <x v="0"/>
    <x v="5"/>
    <x v="2"/>
  </r>
  <r>
    <x v="813"/>
    <x v="20"/>
    <x v="10"/>
    <x v="4"/>
    <x v="23"/>
    <x v="21"/>
    <x v="1"/>
    <x v="5"/>
    <x v="21"/>
    <x v="56"/>
    <x v="0"/>
    <x v="1"/>
    <x v="1"/>
    <x v="4"/>
    <x v="2"/>
  </r>
  <r>
    <x v="814"/>
    <x v="22"/>
    <x v="594"/>
    <x v="0"/>
    <x v="19"/>
    <x v="49"/>
    <x v="4"/>
    <x v="130"/>
    <x v="23"/>
    <x v="204"/>
    <x v="0"/>
    <x v="5"/>
    <x v="1"/>
    <x v="2"/>
    <x v="0"/>
  </r>
  <r>
    <x v="815"/>
    <x v="65"/>
    <x v="345"/>
    <x v="6"/>
    <x v="43"/>
    <x v="34"/>
    <x v="0"/>
    <x v="41"/>
    <x v="52"/>
    <x v="138"/>
    <x v="1"/>
    <x v="6"/>
    <x v="1"/>
    <x v="3"/>
    <x v="4"/>
  </r>
  <r>
    <x v="816"/>
    <x v="71"/>
    <x v="166"/>
    <x v="3"/>
    <x v="24"/>
    <x v="12"/>
    <x v="1"/>
    <x v="45"/>
    <x v="29"/>
    <x v="128"/>
    <x v="0"/>
    <x v="4"/>
    <x v="1"/>
    <x v="3"/>
    <x v="0"/>
  </r>
  <r>
    <x v="817"/>
    <x v="88"/>
    <x v="422"/>
    <x v="6"/>
    <x v="43"/>
    <x v="34"/>
    <x v="5"/>
    <x v="66"/>
    <x v="37"/>
    <x v="251"/>
    <x v="0"/>
    <x v="5"/>
    <x v="1"/>
    <x v="5"/>
    <x v="5"/>
  </r>
  <r>
    <x v="818"/>
    <x v="4"/>
    <x v="350"/>
    <x v="7"/>
    <x v="16"/>
    <x v="50"/>
    <x v="3"/>
    <x v="83"/>
    <x v="21"/>
    <x v="66"/>
    <x v="1"/>
    <x v="4"/>
    <x v="1"/>
    <x v="2"/>
    <x v="2"/>
  </r>
  <r>
    <x v="819"/>
    <x v="11"/>
    <x v="595"/>
    <x v="6"/>
    <x v="7"/>
    <x v="7"/>
    <x v="1"/>
    <x v="58"/>
    <x v="13"/>
    <x v="260"/>
    <x v="0"/>
    <x v="5"/>
    <x v="1"/>
    <x v="8"/>
    <x v="5"/>
  </r>
  <r>
    <x v="820"/>
    <x v="54"/>
    <x v="596"/>
    <x v="4"/>
    <x v="28"/>
    <x v="26"/>
    <x v="2"/>
    <x v="110"/>
    <x v="36"/>
    <x v="72"/>
    <x v="3"/>
    <x v="1"/>
    <x v="1"/>
    <x v="5"/>
    <x v="3"/>
  </r>
  <r>
    <x v="821"/>
    <x v="19"/>
    <x v="123"/>
    <x v="5"/>
    <x v="6"/>
    <x v="6"/>
    <x v="1"/>
    <x v="88"/>
    <x v="11"/>
    <x v="147"/>
    <x v="0"/>
    <x v="1"/>
    <x v="1"/>
    <x v="0"/>
    <x v="4"/>
  </r>
  <r>
    <x v="822"/>
    <x v="86"/>
    <x v="597"/>
    <x v="6"/>
    <x v="43"/>
    <x v="48"/>
    <x v="4"/>
    <x v="45"/>
    <x v="10"/>
    <x v="210"/>
    <x v="3"/>
    <x v="2"/>
    <x v="1"/>
    <x v="7"/>
    <x v="1"/>
  </r>
  <r>
    <x v="823"/>
    <x v="87"/>
    <x v="505"/>
    <x v="4"/>
    <x v="26"/>
    <x v="5"/>
    <x v="5"/>
    <x v="143"/>
    <x v="32"/>
    <x v="277"/>
    <x v="0"/>
    <x v="1"/>
    <x v="1"/>
    <x v="0"/>
    <x v="2"/>
  </r>
  <r>
    <x v="824"/>
    <x v="2"/>
    <x v="598"/>
    <x v="2"/>
    <x v="30"/>
    <x v="67"/>
    <x v="4"/>
    <x v="103"/>
    <x v="5"/>
    <x v="312"/>
    <x v="0"/>
    <x v="5"/>
    <x v="1"/>
    <x v="7"/>
    <x v="3"/>
  </r>
  <r>
    <x v="825"/>
    <x v="5"/>
    <x v="181"/>
    <x v="4"/>
    <x v="5"/>
    <x v="13"/>
    <x v="2"/>
    <x v="115"/>
    <x v="36"/>
    <x v="280"/>
    <x v="0"/>
    <x v="5"/>
    <x v="1"/>
    <x v="2"/>
    <x v="5"/>
  </r>
  <r>
    <x v="826"/>
    <x v="46"/>
    <x v="599"/>
    <x v="3"/>
    <x v="24"/>
    <x v="12"/>
    <x v="0"/>
    <x v="107"/>
    <x v="23"/>
    <x v="167"/>
    <x v="0"/>
    <x v="6"/>
    <x v="1"/>
    <x v="0"/>
    <x v="2"/>
  </r>
  <r>
    <x v="827"/>
    <x v="21"/>
    <x v="598"/>
    <x v="5"/>
    <x v="71"/>
    <x v="43"/>
    <x v="4"/>
    <x v="130"/>
    <x v="24"/>
    <x v="56"/>
    <x v="0"/>
    <x v="5"/>
    <x v="1"/>
    <x v="7"/>
    <x v="3"/>
  </r>
  <r>
    <x v="828"/>
    <x v="31"/>
    <x v="175"/>
    <x v="0"/>
    <x v="47"/>
    <x v="33"/>
    <x v="0"/>
    <x v="87"/>
    <x v="4"/>
    <x v="134"/>
    <x v="4"/>
    <x v="4"/>
    <x v="1"/>
    <x v="0"/>
    <x v="2"/>
  </r>
  <r>
    <x v="829"/>
    <x v="71"/>
    <x v="600"/>
    <x v="5"/>
    <x v="56"/>
    <x v="62"/>
    <x v="1"/>
    <x v="26"/>
    <x v="13"/>
    <x v="122"/>
    <x v="0"/>
    <x v="3"/>
    <x v="0"/>
    <x v="3"/>
    <x v="3"/>
  </r>
  <r>
    <x v="830"/>
    <x v="23"/>
    <x v="601"/>
    <x v="8"/>
    <x v="22"/>
    <x v="45"/>
    <x v="0"/>
    <x v="103"/>
    <x v="37"/>
    <x v="61"/>
    <x v="2"/>
    <x v="4"/>
    <x v="1"/>
    <x v="2"/>
    <x v="2"/>
  </r>
  <r>
    <x v="831"/>
    <x v="23"/>
    <x v="136"/>
    <x v="6"/>
    <x v="60"/>
    <x v="48"/>
    <x v="1"/>
    <x v="50"/>
    <x v="15"/>
    <x v="167"/>
    <x v="0"/>
    <x v="5"/>
    <x v="1"/>
    <x v="0"/>
    <x v="3"/>
  </r>
  <r>
    <x v="832"/>
    <x v="63"/>
    <x v="598"/>
    <x v="2"/>
    <x v="66"/>
    <x v="31"/>
    <x v="0"/>
    <x v="73"/>
    <x v="4"/>
    <x v="18"/>
    <x v="0"/>
    <x v="5"/>
    <x v="1"/>
    <x v="2"/>
    <x v="3"/>
  </r>
  <r>
    <x v="833"/>
    <x v="30"/>
    <x v="602"/>
    <x v="7"/>
    <x v="58"/>
    <x v="55"/>
    <x v="1"/>
    <x v="26"/>
    <x v="21"/>
    <x v="89"/>
    <x v="0"/>
    <x v="2"/>
    <x v="1"/>
    <x v="5"/>
    <x v="0"/>
  </r>
  <r>
    <x v="834"/>
    <x v="42"/>
    <x v="415"/>
    <x v="4"/>
    <x v="26"/>
    <x v="5"/>
    <x v="2"/>
    <x v="83"/>
    <x v="22"/>
    <x v="0"/>
    <x v="1"/>
    <x v="4"/>
    <x v="1"/>
    <x v="10"/>
    <x v="5"/>
  </r>
  <r>
    <x v="835"/>
    <x v="15"/>
    <x v="603"/>
    <x v="8"/>
    <x v="34"/>
    <x v="47"/>
    <x v="0"/>
    <x v="91"/>
    <x v="29"/>
    <x v="159"/>
    <x v="5"/>
    <x v="0"/>
    <x v="0"/>
    <x v="5"/>
    <x v="2"/>
  </r>
  <r>
    <x v="836"/>
    <x v="75"/>
    <x v="225"/>
    <x v="3"/>
    <x v="24"/>
    <x v="35"/>
    <x v="1"/>
    <x v="55"/>
    <x v="51"/>
    <x v="341"/>
    <x v="3"/>
    <x v="6"/>
    <x v="1"/>
    <x v="1"/>
    <x v="0"/>
  </r>
  <r>
    <x v="837"/>
    <x v="61"/>
    <x v="523"/>
    <x v="4"/>
    <x v="23"/>
    <x v="21"/>
    <x v="1"/>
    <x v="23"/>
    <x v="36"/>
    <x v="288"/>
    <x v="1"/>
    <x v="1"/>
    <x v="1"/>
    <x v="8"/>
    <x v="0"/>
  </r>
  <r>
    <x v="838"/>
    <x v="66"/>
    <x v="604"/>
    <x v="7"/>
    <x v="16"/>
    <x v="20"/>
    <x v="5"/>
    <x v="79"/>
    <x v="37"/>
    <x v="342"/>
    <x v="0"/>
    <x v="3"/>
    <x v="0"/>
    <x v="1"/>
    <x v="4"/>
  </r>
  <r>
    <x v="839"/>
    <x v="85"/>
    <x v="451"/>
    <x v="2"/>
    <x v="31"/>
    <x v="69"/>
    <x v="3"/>
    <x v="118"/>
    <x v="32"/>
    <x v="150"/>
    <x v="3"/>
    <x v="6"/>
    <x v="1"/>
    <x v="8"/>
    <x v="3"/>
  </r>
  <r>
    <x v="840"/>
    <x v="82"/>
    <x v="605"/>
    <x v="6"/>
    <x v="35"/>
    <x v="34"/>
    <x v="1"/>
    <x v="5"/>
    <x v="24"/>
    <x v="93"/>
    <x v="0"/>
    <x v="5"/>
    <x v="1"/>
    <x v="1"/>
    <x v="1"/>
  </r>
  <r>
    <x v="841"/>
    <x v="51"/>
    <x v="606"/>
    <x v="5"/>
    <x v="68"/>
    <x v="61"/>
    <x v="0"/>
    <x v="62"/>
    <x v="6"/>
    <x v="311"/>
    <x v="0"/>
    <x v="2"/>
    <x v="1"/>
    <x v="0"/>
    <x v="0"/>
  </r>
  <r>
    <x v="842"/>
    <x v="69"/>
    <x v="539"/>
    <x v="0"/>
    <x v="36"/>
    <x v="0"/>
    <x v="2"/>
    <x v="171"/>
    <x v="27"/>
    <x v="189"/>
    <x v="0"/>
    <x v="1"/>
    <x v="1"/>
    <x v="3"/>
    <x v="5"/>
  </r>
  <r>
    <x v="843"/>
    <x v="29"/>
    <x v="545"/>
    <x v="0"/>
    <x v="36"/>
    <x v="22"/>
    <x v="2"/>
    <x v="78"/>
    <x v="29"/>
    <x v="202"/>
    <x v="1"/>
    <x v="1"/>
    <x v="1"/>
    <x v="1"/>
    <x v="1"/>
  </r>
  <r>
    <x v="844"/>
    <x v="84"/>
    <x v="607"/>
    <x v="6"/>
    <x v="60"/>
    <x v="56"/>
    <x v="1"/>
    <x v="91"/>
    <x v="43"/>
    <x v="33"/>
    <x v="0"/>
    <x v="1"/>
    <x v="1"/>
    <x v="2"/>
    <x v="5"/>
  </r>
  <r>
    <x v="845"/>
    <x v="1"/>
    <x v="608"/>
    <x v="3"/>
    <x v="14"/>
    <x v="35"/>
    <x v="4"/>
    <x v="130"/>
    <x v="43"/>
    <x v="343"/>
    <x v="3"/>
    <x v="0"/>
    <x v="0"/>
    <x v="3"/>
    <x v="2"/>
  </r>
  <r>
    <x v="846"/>
    <x v="71"/>
    <x v="609"/>
    <x v="0"/>
    <x v="65"/>
    <x v="33"/>
    <x v="2"/>
    <x v="4"/>
    <x v="21"/>
    <x v="103"/>
    <x v="1"/>
    <x v="0"/>
    <x v="0"/>
    <x v="7"/>
    <x v="4"/>
  </r>
  <r>
    <x v="847"/>
    <x v="60"/>
    <x v="36"/>
    <x v="8"/>
    <x v="64"/>
    <x v="71"/>
    <x v="2"/>
    <x v="50"/>
    <x v="12"/>
    <x v="344"/>
    <x v="1"/>
    <x v="4"/>
    <x v="1"/>
    <x v="2"/>
    <x v="5"/>
  </r>
  <r>
    <x v="848"/>
    <x v="14"/>
    <x v="610"/>
    <x v="0"/>
    <x v="13"/>
    <x v="42"/>
    <x v="3"/>
    <x v="94"/>
    <x v="30"/>
    <x v="94"/>
    <x v="0"/>
    <x v="0"/>
    <x v="0"/>
    <x v="4"/>
    <x v="0"/>
  </r>
  <r>
    <x v="849"/>
    <x v="47"/>
    <x v="611"/>
    <x v="4"/>
    <x v="5"/>
    <x v="26"/>
    <x v="2"/>
    <x v="20"/>
    <x v="23"/>
    <x v="324"/>
    <x v="5"/>
    <x v="5"/>
    <x v="1"/>
    <x v="2"/>
    <x v="2"/>
  </r>
  <r>
    <x v="850"/>
    <x v="61"/>
    <x v="169"/>
    <x v="0"/>
    <x v="13"/>
    <x v="42"/>
    <x v="3"/>
    <x v="123"/>
    <x v="1"/>
    <x v="259"/>
    <x v="0"/>
    <x v="5"/>
    <x v="1"/>
    <x v="5"/>
    <x v="0"/>
  </r>
  <r>
    <x v="851"/>
    <x v="41"/>
    <x v="612"/>
    <x v="8"/>
    <x v="34"/>
    <x v="47"/>
    <x v="0"/>
    <x v="40"/>
    <x v="5"/>
    <x v="222"/>
    <x v="3"/>
    <x v="6"/>
    <x v="1"/>
    <x v="3"/>
    <x v="5"/>
  </r>
  <r>
    <x v="852"/>
    <x v="3"/>
    <x v="613"/>
    <x v="5"/>
    <x v="71"/>
    <x v="62"/>
    <x v="0"/>
    <x v="0"/>
    <x v="43"/>
    <x v="345"/>
    <x v="0"/>
    <x v="1"/>
    <x v="1"/>
    <x v="0"/>
    <x v="3"/>
  </r>
  <r>
    <x v="853"/>
    <x v="29"/>
    <x v="163"/>
    <x v="6"/>
    <x v="35"/>
    <x v="56"/>
    <x v="1"/>
    <x v="88"/>
    <x v="15"/>
    <x v="174"/>
    <x v="3"/>
    <x v="2"/>
    <x v="1"/>
    <x v="5"/>
    <x v="0"/>
  </r>
  <r>
    <x v="854"/>
    <x v="31"/>
    <x v="119"/>
    <x v="8"/>
    <x v="54"/>
    <x v="57"/>
    <x v="3"/>
    <x v="152"/>
    <x v="3"/>
    <x v="346"/>
    <x v="5"/>
    <x v="1"/>
    <x v="1"/>
    <x v="2"/>
    <x v="3"/>
  </r>
  <r>
    <x v="855"/>
    <x v="4"/>
    <x v="357"/>
    <x v="2"/>
    <x v="61"/>
    <x v="53"/>
    <x v="1"/>
    <x v="83"/>
    <x v="19"/>
    <x v="164"/>
    <x v="0"/>
    <x v="5"/>
    <x v="1"/>
    <x v="4"/>
    <x v="4"/>
  </r>
  <r>
    <x v="856"/>
    <x v="79"/>
    <x v="39"/>
    <x v="2"/>
    <x v="31"/>
    <x v="59"/>
    <x v="3"/>
    <x v="94"/>
    <x v="13"/>
    <x v="347"/>
    <x v="2"/>
    <x v="5"/>
    <x v="1"/>
    <x v="2"/>
    <x v="6"/>
  </r>
  <r>
    <x v="857"/>
    <x v="17"/>
    <x v="425"/>
    <x v="5"/>
    <x v="41"/>
    <x v="43"/>
    <x v="4"/>
    <x v="134"/>
    <x v="19"/>
    <x v="4"/>
    <x v="1"/>
    <x v="1"/>
    <x v="1"/>
    <x v="8"/>
    <x v="3"/>
  </r>
  <r>
    <x v="858"/>
    <x v="88"/>
    <x v="201"/>
    <x v="3"/>
    <x v="25"/>
    <x v="12"/>
    <x v="3"/>
    <x v="53"/>
    <x v="48"/>
    <x v="348"/>
    <x v="3"/>
    <x v="4"/>
    <x v="1"/>
    <x v="2"/>
    <x v="6"/>
  </r>
  <r>
    <x v="859"/>
    <x v="74"/>
    <x v="267"/>
    <x v="6"/>
    <x v="27"/>
    <x v="64"/>
    <x v="1"/>
    <x v="172"/>
    <x v="42"/>
    <x v="349"/>
    <x v="1"/>
    <x v="4"/>
    <x v="1"/>
    <x v="1"/>
    <x v="6"/>
  </r>
  <r>
    <x v="860"/>
    <x v="67"/>
    <x v="190"/>
    <x v="6"/>
    <x v="48"/>
    <x v="41"/>
    <x v="4"/>
    <x v="83"/>
    <x v="4"/>
    <x v="145"/>
    <x v="0"/>
    <x v="2"/>
    <x v="1"/>
    <x v="2"/>
    <x v="5"/>
  </r>
  <r>
    <x v="861"/>
    <x v="41"/>
    <x v="235"/>
    <x v="3"/>
    <x v="29"/>
    <x v="4"/>
    <x v="5"/>
    <x v="98"/>
    <x v="16"/>
    <x v="350"/>
    <x v="0"/>
    <x v="6"/>
    <x v="1"/>
    <x v="3"/>
    <x v="2"/>
  </r>
  <r>
    <x v="862"/>
    <x v="10"/>
    <x v="279"/>
    <x v="5"/>
    <x v="32"/>
    <x v="63"/>
    <x v="0"/>
    <x v="16"/>
    <x v="46"/>
    <x v="135"/>
    <x v="1"/>
    <x v="2"/>
    <x v="1"/>
    <x v="5"/>
    <x v="4"/>
  </r>
  <r>
    <x v="863"/>
    <x v="47"/>
    <x v="309"/>
    <x v="5"/>
    <x v="6"/>
    <x v="62"/>
    <x v="0"/>
    <x v="52"/>
    <x v="4"/>
    <x v="56"/>
    <x v="1"/>
    <x v="4"/>
    <x v="1"/>
    <x v="7"/>
    <x v="3"/>
  </r>
  <r>
    <x v="864"/>
    <x v="73"/>
    <x v="334"/>
    <x v="7"/>
    <x v="50"/>
    <x v="50"/>
    <x v="2"/>
    <x v="65"/>
    <x v="4"/>
    <x v="128"/>
    <x v="0"/>
    <x v="6"/>
    <x v="1"/>
    <x v="5"/>
    <x v="0"/>
  </r>
  <r>
    <x v="865"/>
    <x v="73"/>
    <x v="121"/>
    <x v="3"/>
    <x v="45"/>
    <x v="4"/>
    <x v="4"/>
    <x v="38"/>
    <x v="7"/>
    <x v="45"/>
    <x v="3"/>
    <x v="2"/>
    <x v="1"/>
    <x v="3"/>
    <x v="3"/>
  </r>
  <r>
    <x v="866"/>
    <x v="17"/>
    <x v="614"/>
    <x v="5"/>
    <x v="32"/>
    <x v="43"/>
    <x v="1"/>
    <x v="143"/>
    <x v="8"/>
    <x v="250"/>
    <x v="2"/>
    <x v="4"/>
    <x v="1"/>
    <x v="2"/>
    <x v="2"/>
  </r>
  <r>
    <x v="867"/>
    <x v="52"/>
    <x v="579"/>
    <x v="0"/>
    <x v="65"/>
    <x v="14"/>
    <x v="5"/>
    <x v="84"/>
    <x v="44"/>
    <x v="119"/>
    <x v="0"/>
    <x v="1"/>
    <x v="1"/>
    <x v="2"/>
    <x v="2"/>
  </r>
  <r>
    <x v="868"/>
    <x v="47"/>
    <x v="615"/>
    <x v="1"/>
    <x v="49"/>
    <x v="1"/>
    <x v="1"/>
    <x v="39"/>
    <x v="43"/>
    <x v="74"/>
    <x v="0"/>
    <x v="3"/>
    <x v="0"/>
    <x v="7"/>
    <x v="5"/>
  </r>
  <r>
    <x v="869"/>
    <x v="27"/>
    <x v="616"/>
    <x v="3"/>
    <x v="24"/>
    <x v="12"/>
    <x v="4"/>
    <x v="52"/>
    <x v="4"/>
    <x v="12"/>
    <x v="3"/>
    <x v="3"/>
    <x v="0"/>
    <x v="3"/>
    <x v="5"/>
  </r>
  <r>
    <x v="870"/>
    <x v="37"/>
    <x v="443"/>
    <x v="7"/>
    <x v="39"/>
    <x v="55"/>
    <x v="1"/>
    <x v="76"/>
    <x v="29"/>
    <x v="44"/>
    <x v="0"/>
    <x v="2"/>
    <x v="1"/>
    <x v="4"/>
    <x v="2"/>
  </r>
  <r>
    <x v="871"/>
    <x v="73"/>
    <x v="617"/>
    <x v="1"/>
    <x v="1"/>
    <x v="68"/>
    <x v="2"/>
    <x v="79"/>
    <x v="7"/>
    <x v="165"/>
    <x v="0"/>
    <x v="5"/>
    <x v="1"/>
    <x v="3"/>
    <x v="2"/>
  </r>
  <r>
    <x v="872"/>
    <x v="57"/>
    <x v="43"/>
    <x v="0"/>
    <x v="36"/>
    <x v="42"/>
    <x v="1"/>
    <x v="26"/>
    <x v="21"/>
    <x v="156"/>
    <x v="4"/>
    <x v="4"/>
    <x v="1"/>
    <x v="1"/>
    <x v="1"/>
  </r>
  <r>
    <x v="873"/>
    <x v="69"/>
    <x v="437"/>
    <x v="2"/>
    <x v="66"/>
    <x v="29"/>
    <x v="0"/>
    <x v="21"/>
    <x v="30"/>
    <x v="48"/>
    <x v="0"/>
    <x v="4"/>
    <x v="1"/>
    <x v="7"/>
    <x v="4"/>
  </r>
  <r>
    <x v="874"/>
    <x v="55"/>
    <x v="618"/>
    <x v="2"/>
    <x v="30"/>
    <x v="69"/>
    <x v="3"/>
    <x v="73"/>
    <x v="22"/>
    <x v="93"/>
    <x v="0"/>
    <x v="0"/>
    <x v="0"/>
    <x v="4"/>
    <x v="5"/>
  </r>
  <r>
    <x v="875"/>
    <x v="21"/>
    <x v="619"/>
    <x v="2"/>
    <x v="55"/>
    <x v="53"/>
    <x v="0"/>
    <x v="171"/>
    <x v="61"/>
    <x v="351"/>
    <x v="1"/>
    <x v="4"/>
    <x v="1"/>
    <x v="8"/>
    <x v="0"/>
  </r>
  <r>
    <x v="876"/>
    <x v="68"/>
    <x v="620"/>
    <x v="3"/>
    <x v="40"/>
    <x v="4"/>
    <x v="0"/>
    <x v="7"/>
    <x v="24"/>
    <x v="275"/>
    <x v="0"/>
    <x v="4"/>
    <x v="1"/>
    <x v="5"/>
    <x v="5"/>
  </r>
  <r>
    <x v="877"/>
    <x v="86"/>
    <x v="22"/>
    <x v="2"/>
    <x v="70"/>
    <x v="58"/>
    <x v="3"/>
    <x v="32"/>
    <x v="14"/>
    <x v="352"/>
    <x v="0"/>
    <x v="1"/>
    <x v="1"/>
    <x v="3"/>
    <x v="3"/>
  </r>
  <r>
    <x v="878"/>
    <x v="84"/>
    <x v="621"/>
    <x v="2"/>
    <x v="31"/>
    <x v="29"/>
    <x v="0"/>
    <x v="173"/>
    <x v="62"/>
    <x v="348"/>
    <x v="5"/>
    <x v="2"/>
    <x v="1"/>
    <x v="1"/>
    <x v="5"/>
  </r>
  <r>
    <x v="879"/>
    <x v="9"/>
    <x v="41"/>
    <x v="0"/>
    <x v="47"/>
    <x v="49"/>
    <x v="1"/>
    <x v="26"/>
    <x v="43"/>
    <x v="15"/>
    <x v="1"/>
    <x v="4"/>
    <x v="1"/>
    <x v="0"/>
    <x v="2"/>
  </r>
  <r>
    <x v="880"/>
    <x v="3"/>
    <x v="612"/>
    <x v="5"/>
    <x v="41"/>
    <x v="43"/>
    <x v="1"/>
    <x v="124"/>
    <x v="44"/>
    <x v="213"/>
    <x v="0"/>
    <x v="6"/>
    <x v="1"/>
    <x v="7"/>
    <x v="4"/>
  </r>
  <r>
    <x v="881"/>
    <x v="49"/>
    <x v="583"/>
    <x v="2"/>
    <x v="31"/>
    <x v="67"/>
    <x v="1"/>
    <x v="64"/>
    <x v="4"/>
    <x v="86"/>
    <x v="0"/>
    <x v="4"/>
    <x v="1"/>
    <x v="5"/>
    <x v="3"/>
  </r>
  <r>
    <x v="882"/>
    <x v="21"/>
    <x v="622"/>
    <x v="8"/>
    <x v="34"/>
    <x v="44"/>
    <x v="3"/>
    <x v="31"/>
    <x v="30"/>
    <x v="35"/>
    <x v="1"/>
    <x v="1"/>
    <x v="1"/>
    <x v="7"/>
    <x v="2"/>
  </r>
  <r>
    <x v="883"/>
    <x v="7"/>
    <x v="146"/>
    <x v="4"/>
    <x v="26"/>
    <x v="38"/>
    <x v="4"/>
    <x v="31"/>
    <x v="21"/>
    <x v="153"/>
    <x v="5"/>
    <x v="2"/>
    <x v="1"/>
    <x v="2"/>
    <x v="2"/>
  </r>
  <r>
    <x v="884"/>
    <x v="50"/>
    <x v="623"/>
    <x v="0"/>
    <x v="0"/>
    <x v="10"/>
    <x v="3"/>
    <x v="96"/>
    <x v="14"/>
    <x v="344"/>
    <x v="0"/>
    <x v="5"/>
    <x v="1"/>
    <x v="0"/>
    <x v="0"/>
  </r>
  <r>
    <x v="885"/>
    <x v="81"/>
    <x v="624"/>
    <x v="3"/>
    <x v="14"/>
    <x v="28"/>
    <x v="2"/>
    <x v="20"/>
    <x v="25"/>
    <x v="353"/>
    <x v="1"/>
    <x v="6"/>
    <x v="1"/>
    <x v="5"/>
    <x v="5"/>
  </r>
  <r>
    <x v="886"/>
    <x v="81"/>
    <x v="625"/>
    <x v="2"/>
    <x v="66"/>
    <x v="3"/>
    <x v="4"/>
    <x v="47"/>
    <x v="19"/>
    <x v="102"/>
    <x v="0"/>
    <x v="4"/>
    <x v="1"/>
    <x v="7"/>
    <x v="4"/>
  </r>
  <r>
    <x v="887"/>
    <x v="54"/>
    <x v="216"/>
    <x v="0"/>
    <x v="19"/>
    <x v="10"/>
    <x v="3"/>
    <x v="87"/>
    <x v="21"/>
    <x v="93"/>
    <x v="3"/>
    <x v="4"/>
    <x v="1"/>
    <x v="0"/>
    <x v="3"/>
  </r>
  <r>
    <x v="888"/>
    <x v="8"/>
    <x v="162"/>
    <x v="2"/>
    <x v="3"/>
    <x v="29"/>
    <x v="3"/>
    <x v="74"/>
    <x v="19"/>
    <x v="219"/>
    <x v="0"/>
    <x v="7"/>
    <x v="0"/>
    <x v="2"/>
    <x v="0"/>
  </r>
  <r>
    <x v="889"/>
    <x v="31"/>
    <x v="20"/>
    <x v="4"/>
    <x v="26"/>
    <x v="26"/>
    <x v="5"/>
    <x v="22"/>
    <x v="12"/>
    <x v="354"/>
    <x v="0"/>
    <x v="1"/>
    <x v="1"/>
    <x v="1"/>
    <x v="4"/>
  </r>
  <r>
    <x v="890"/>
    <x v="65"/>
    <x v="441"/>
    <x v="0"/>
    <x v="47"/>
    <x v="33"/>
    <x v="0"/>
    <x v="47"/>
    <x v="6"/>
    <x v="298"/>
    <x v="3"/>
    <x v="4"/>
    <x v="1"/>
    <x v="2"/>
    <x v="5"/>
  </r>
  <r>
    <x v="891"/>
    <x v="42"/>
    <x v="626"/>
    <x v="8"/>
    <x v="57"/>
    <x v="57"/>
    <x v="4"/>
    <x v="119"/>
    <x v="19"/>
    <x v="355"/>
    <x v="2"/>
    <x v="0"/>
    <x v="0"/>
    <x v="7"/>
    <x v="3"/>
  </r>
  <r>
    <x v="892"/>
    <x v="62"/>
    <x v="560"/>
    <x v="4"/>
    <x v="15"/>
    <x v="38"/>
    <x v="1"/>
    <x v="10"/>
    <x v="7"/>
    <x v="356"/>
    <x v="0"/>
    <x v="5"/>
    <x v="1"/>
    <x v="1"/>
    <x v="0"/>
  </r>
  <r>
    <x v="893"/>
    <x v="49"/>
    <x v="625"/>
    <x v="7"/>
    <x v="67"/>
    <x v="20"/>
    <x v="5"/>
    <x v="7"/>
    <x v="4"/>
    <x v="132"/>
    <x v="0"/>
    <x v="4"/>
    <x v="1"/>
    <x v="7"/>
    <x v="4"/>
  </r>
  <r>
    <x v="894"/>
    <x v="85"/>
    <x v="627"/>
    <x v="2"/>
    <x v="30"/>
    <x v="3"/>
    <x v="1"/>
    <x v="9"/>
    <x v="25"/>
    <x v="244"/>
    <x v="3"/>
    <x v="6"/>
    <x v="1"/>
    <x v="0"/>
    <x v="4"/>
  </r>
  <r>
    <x v="895"/>
    <x v="71"/>
    <x v="524"/>
    <x v="3"/>
    <x v="14"/>
    <x v="28"/>
    <x v="0"/>
    <x v="81"/>
    <x v="36"/>
    <x v="274"/>
    <x v="1"/>
    <x v="1"/>
    <x v="1"/>
    <x v="0"/>
    <x v="0"/>
  </r>
  <r>
    <x v="896"/>
    <x v="85"/>
    <x v="514"/>
    <x v="1"/>
    <x v="37"/>
    <x v="27"/>
    <x v="4"/>
    <x v="63"/>
    <x v="0"/>
    <x v="220"/>
    <x v="0"/>
    <x v="6"/>
    <x v="1"/>
    <x v="7"/>
    <x v="3"/>
  </r>
  <r>
    <x v="897"/>
    <x v="66"/>
    <x v="628"/>
    <x v="0"/>
    <x v="11"/>
    <x v="33"/>
    <x v="1"/>
    <x v="30"/>
    <x v="31"/>
    <x v="357"/>
    <x v="0"/>
    <x v="2"/>
    <x v="1"/>
    <x v="7"/>
    <x v="2"/>
  </r>
  <r>
    <x v="898"/>
    <x v="17"/>
    <x v="629"/>
    <x v="7"/>
    <x v="12"/>
    <x v="55"/>
    <x v="5"/>
    <x v="174"/>
    <x v="52"/>
    <x v="358"/>
    <x v="3"/>
    <x v="1"/>
    <x v="1"/>
    <x v="3"/>
    <x v="5"/>
  </r>
  <r>
    <x v="899"/>
    <x v="42"/>
    <x v="557"/>
    <x v="8"/>
    <x v="54"/>
    <x v="47"/>
    <x v="1"/>
    <x v="134"/>
    <x v="21"/>
    <x v="160"/>
    <x v="3"/>
    <x v="5"/>
    <x v="1"/>
    <x v="3"/>
    <x v="2"/>
  </r>
  <r>
    <x v="900"/>
    <x v="15"/>
    <x v="474"/>
    <x v="4"/>
    <x v="26"/>
    <x v="17"/>
    <x v="1"/>
    <x v="46"/>
    <x v="37"/>
    <x v="128"/>
    <x v="0"/>
    <x v="2"/>
    <x v="1"/>
    <x v="2"/>
    <x v="4"/>
  </r>
  <r>
    <x v="901"/>
    <x v="25"/>
    <x v="566"/>
    <x v="8"/>
    <x v="38"/>
    <x v="44"/>
    <x v="2"/>
    <x v="38"/>
    <x v="24"/>
    <x v="122"/>
    <x v="3"/>
    <x v="6"/>
    <x v="1"/>
    <x v="5"/>
    <x v="2"/>
  </r>
  <r>
    <x v="902"/>
    <x v="82"/>
    <x v="492"/>
    <x v="0"/>
    <x v="0"/>
    <x v="33"/>
    <x v="4"/>
    <x v="76"/>
    <x v="25"/>
    <x v="134"/>
    <x v="5"/>
    <x v="1"/>
    <x v="1"/>
    <x v="5"/>
    <x v="6"/>
  </r>
  <r>
    <x v="903"/>
    <x v="29"/>
    <x v="629"/>
    <x v="5"/>
    <x v="53"/>
    <x v="6"/>
    <x v="5"/>
    <x v="33"/>
    <x v="19"/>
    <x v="359"/>
    <x v="1"/>
    <x v="1"/>
    <x v="1"/>
    <x v="1"/>
    <x v="2"/>
  </r>
  <r>
    <x v="904"/>
    <x v="2"/>
    <x v="630"/>
    <x v="4"/>
    <x v="5"/>
    <x v="5"/>
    <x v="1"/>
    <x v="57"/>
    <x v="8"/>
    <x v="8"/>
    <x v="0"/>
    <x v="4"/>
    <x v="1"/>
    <x v="7"/>
    <x v="3"/>
  </r>
  <r>
    <x v="905"/>
    <x v="16"/>
    <x v="303"/>
    <x v="4"/>
    <x v="20"/>
    <x v="25"/>
    <x v="1"/>
    <x v="142"/>
    <x v="0"/>
    <x v="55"/>
    <x v="3"/>
    <x v="6"/>
    <x v="1"/>
    <x v="5"/>
    <x v="0"/>
  </r>
  <r>
    <x v="906"/>
    <x v="11"/>
    <x v="344"/>
    <x v="3"/>
    <x v="29"/>
    <x v="52"/>
    <x v="2"/>
    <x v="102"/>
    <x v="29"/>
    <x v="360"/>
    <x v="0"/>
    <x v="5"/>
    <x v="1"/>
    <x v="2"/>
    <x v="0"/>
  </r>
  <r>
    <x v="907"/>
    <x v="37"/>
    <x v="631"/>
    <x v="7"/>
    <x v="50"/>
    <x v="50"/>
    <x v="1"/>
    <x v="52"/>
    <x v="4"/>
    <x v="355"/>
    <x v="0"/>
    <x v="6"/>
    <x v="1"/>
    <x v="0"/>
    <x v="2"/>
  </r>
  <r>
    <x v="908"/>
    <x v="27"/>
    <x v="260"/>
    <x v="0"/>
    <x v="47"/>
    <x v="33"/>
    <x v="5"/>
    <x v="17"/>
    <x v="40"/>
    <x v="361"/>
    <x v="3"/>
    <x v="6"/>
    <x v="1"/>
    <x v="5"/>
    <x v="4"/>
  </r>
  <r>
    <x v="909"/>
    <x v="82"/>
    <x v="632"/>
    <x v="3"/>
    <x v="10"/>
    <x v="35"/>
    <x v="3"/>
    <x v="130"/>
    <x v="0"/>
    <x v="23"/>
    <x v="0"/>
    <x v="1"/>
    <x v="1"/>
    <x v="3"/>
    <x v="2"/>
  </r>
  <r>
    <x v="910"/>
    <x v="60"/>
    <x v="596"/>
    <x v="6"/>
    <x v="27"/>
    <x v="56"/>
    <x v="3"/>
    <x v="133"/>
    <x v="19"/>
    <x v="5"/>
    <x v="0"/>
    <x v="1"/>
    <x v="1"/>
    <x v="8"/>
    <x v="2"/>
  </r>
  <r>
    <x v="911"/>
    <x v="2"/>
    <x v="122"/>
    <x v="8"/>
    <x v="38"/>
    <x v="36"/>
    <x v="4"/>
    <x v="83"/>
    <x v="4"/>
    <x v="203"/>
    <x v="5"/>
    <x v="4"/>
    <x v="1"/>
    <x v="3"/>
    <x v="4"/>
  </r>
  <r>
    <x v="912"/>
    <x v="64"/>
    <x v="71"/>
    <x v="7"/>
    <x v="50"/>
    <x v="54"/>
    <x v="1"/>
    <x v="7"/>
    <x v="0"/>
    <x v="180"/>
    <x v="0"/>
    <x v="2"/>
    <x v="1"/>
    <x v="4"/>
    <x v="4"/>
  </r>
  <r>
    <x v="913"/>
    <x v="49"/>
    <x v="299"/>
    <x v="3"/>
    <x v="29"/>
    <x v="23"/>
    <x v="1"/>
    <x v="172"/>
    <x v="44"/>
    <x v="16"/>
    <x v="5"/>
    <x v="2"/>
    <x v="1"/>
    <x v="2"/>
    <x v="3"/>
  </r>
  <r>
    <x v="914"/>
    <x v="15"/>
    <x v="633"/>
    <x v="3"/>
    <x v="29"/>
    <x v="23"/>
    <x v="5"/>
    <x v="45"/>
    <x v="0"/>
    <x v="84"/>
    <x v="0"/>
    <x v="3"/>
    <x v="0"/>
    <x v="5"/>
    <x v="3"/>
  </r>
  <r>
    <x v="915"/>
    <x v="88"/>
    <x v="634"/>
    <x v="6"/>
    <x v="7"/>
    <x v="8"/>
    <x v="5"/>
    <x v="175"/>
    <x v="35"/>
    <x v="362"/>
    <x v="0"/>
    <x v="2"/>
    <x v="1"/>
    <x v="2"/>
    <x v="4"/>
  </r>
  <r>
    <x v="916"/>
    <x v="72"/>
    <x v="41"/>
    <x v="7"/>
    <x v="69"/>
    <x v="54"/>
    <x v="3"/>
    <x v="12"/>
    <x v="5"/>
    <x v="239"/>
    <x v="0"/>
    <x v="4"/>
    <x v="1"/>
    <x v="5"/>
    <x v="3"/>
  </r>
  <r>
    <x v="917"/>
    <x v="49"/>
    <x v="635"/>
    <x v="2"/>
    <x v="55"/>
    <x v="58"/>
    <x v="0"/>
    <x v="36"/>
    <x v="7"/>
    <x v="363"/>
    <x v="2"/>
    <x v="1"/>
    <x v="1"/>
    <x v="4"/>
    <x v="4"/>
  </r>
  <r>
    <x v="918"/>
    <x v="3"/>
    <x v="636"/>
    <x v="2"/>
    <x v="31"/>
    <x v="69"/>
    <x v="4"/>
    <x v="49"/>
    <x v="23"/>
    <x v="239"/>
    <x v="0"/>
    <x v="6"/>
    <x v="1"/>
    <x v="3"/>
    <x v="3"/>
  </r>
  <r>
    <x v="919"/>
    <x v="41"/>
    <x v="15"/>
    <x v="8"/>
    <x v="54"/>
    <x v="44"/>
    <x v="2"/>
    <x v="21"/>
    <x v="43"/>
    <x v="212"/>
    <x v="4"/>
    <x v="6"/>
    <x v="1"/>
    <x v="7"/>
    <x v="3"/>
  </r>
  <r>
    <x v="920"/>
    <x v="30"/>
    <x v="274"/>
    <x v="1"/>
    <x v="59"/>
    <x v="37"/>
    <x v="4"/>
    <x v="21"/>
    <x v="32"/>
    <x v="99"/>
    <x v="0"/>
    <x v="6"/>
    <x v="1"/>
    <x v="7"/>
    <x v="5"/>
  </r>
  <r>
    <x v="921"/>
    <x v="10"/>
    <x v="16"/>
    <x v="6"/>
    <x v="9"/>
    <x v="56"/>
    <x v="4"/>
    <x v="47"/>
    <x v="13"/>
    <x v="153"/>
    <x v="1"/>
    <x v="5"/>
    <x v="1"/>
    <x v="2"/>
    <x v="3"/>
  </r>
  <r>
    <x v="922"/>
    <x v="83"/>
    <x v="637"/>
    <x v="3"/>
    <x v="25"/>
    <x v="4"/>
    <x v="2"/>
    <x v="79"/>
    <x v="43"/>
    <x v="332"/>
    <x v="1"/>
    <x v="4"/>
    <x v="1"/>
    <x v="0"/>
    <x v="4"/>
  </r>
  <r>
    <x v="923"/>
    <x v="73"/>
    <x v="638"/>
    <x v="0"/>
    <x v="0"/>
    <x v="22"/>
    <x v="4"/>
    <x v="159"/>
    <x v="37"/>
    <x v="308"/>
    <x v="0"/>
    <x v="6"/>
    <x v="1"/>
    <x v="4"/>
    <x v="6"/>
  </r>
  <r>
    <x v="924"/>
    <x v="22"/>
    <x v="531"/>
    <x v="4"/>
    <x v="15"/>
    <x v="13"/>
    <x v="4"/>
    <x v="15"/>
    <x v="32"/>
    <x v="86"/>
    <x v="1"/>
    <x v="5"/>
    <x v="1"/>
    <x v="3"/>
    <x v="6"/>
  </r>
  <r>
    <x v="925"/>
    <x v="77"/>
    <x v="639"/>
    <x v="2"/>
    <x v="8"/>
    <x v="3"/>
    <x v="1"/>
    <x v="8"/>
    <x v="13"/>
    <x v="261"/>
    <x v="0"/>
    <x v="0"/>
    <x v="0"/>
    <x v="5"/>
    <x v="6"/>
  </r>
  <r>
    <x v="926"/>
    <x v="75"/>
    <x v="388"/>
    <x v="6"/>
    <x v="7"/>
    <x v="7"/>
    <x v="0"/>
    <x v="52"/>
    <x v="19"/>
    <x v="270"/>
    <x v="1"/>
    <x v="1"/>
    <x v="1"/>
    <x v="3"/>
    <x v="4"/>
  </r>
  <r>
    <x v="927"/>
    <x v="55"/>
    <x v="640"/>
    <x v="0"/>
    <x v="0"/>
    <x v="14"/>
    <x v="1"/>
    <x v="73"/>
    <x v="43"/>
    <x v="31"/>
    <x v="3"/>
    <x v="0"/>
    <x v="0"/>
    <x v="4"/>
    <x v="3"/>
  </r>
  <r>
    <x v="928"/>
    <x v="8"/>
    <x v="641"/>
    <x v="4"/>
    <x v="23"/>
    <x v="25"/>
    <x v="3"/>
    <x v="44"/>
    <x v="29"/>
    <x v="293"/>
    <x v="0"/>
    <x v="3"/>
    <x v="0"/>
    <x v="0"/>
    <x v="4"/>
  </r>
  <r>
    <x v="929"/>
    <x v="59"/>
    <x v="642"/>
    <x v="3"/>
    <x v="40"/>
    <x v="35"/>
    <x v="1"/>
    <x v="123"/>
    <x v="38"/>
    <x v="17"/>
    <x v="0"/>
    <x v="7"/>
    <x v="0"/>
    <x v="2"/>
    <x v="4"/>
  </r>
  <r>
    <x v="930"/>
    <x v="57"/>
    <x v="67"/>
    <x v="0"/>
    <x v="13"/>
    <x v="49"/>
    <x v="0"/>
    <x v="26"/>
    <x v="29"/>
    <x v="233"/>
    <x v="0"/>
    <x v="4"/>
    <x v="1"/>
    <x v="5"/>
    <x v="2"/>
  </r>
  <r>
    <x v="931"/>
    <x v="45"/>
    <x v="643"/>
    <x v="0"/>
    <x v="19"/>
    <x v="0"/>
    <x v="1"/>
    <x v="72"/>
    <x v="3"/>
    <x v="255"/>
    <x v="0"/>
    <x v="6"/>
    <x v="1"/>
    <x v="2"/>
    <x v="3"/>
  </r>
  <r>
    <x v="932"/>
    <x v="73"/>
    <x v="644"/>
    <x v="8"/>
    <x v="54"/>
    <x v="71"/>
    <x v="1"/>
    <x v="176"/>
    <x v="17"/>
    <x v="110"/>
    <x v="1"/>
    <x v="4"/>
    <x v="1"/>
    <x v="5"/>
    <x v="3"/>
  </r>
  <r>
    <x v="933"/>
    <x v="24"/>
    <x v="645"/>
    <x v="3"/>
    <x v="25"/>
    <x v="52"/>
    <x v="2"/>
    <x v="115"/>
    <x v="10"/>
    <x v="360"/>
    <x v="5"/>
    <x v="4"/>
    <x v="1"/>
    <x v="2"/>
    <x v="2"/>
  </r>
  <r>
    <x v="934"/>
    <x v="70"/>
    <x v="279"/>
    <x v="1"/>
    <x v="49"/>
    <x v="46"/>
    <x v="0"/>
    <x v="83"/>
    <x v="4"/>
    <x v="204"/>
    <x v="0"/>
    <x v="2"/>
    <x v="1"/>
    <x v="5"/>
    <x v="4"/>
  </r>
  <r>
    <x v="935"/>
    <x v="19"/>
    <x v="288"/>
    <x v="3"/>
    <x v="29"/>
    <x v="28"/>
    <x v="4"/>
    <x v="65"/>
    <x v="21"/>
    <x v="73"/>
    <x v="1"/>
    <x v="6"/>
    <x v="1"/>
    <x v="5"/>
    <x v="2"/>
  </r>
  <r>
    <x v="936"/>
    <x v="40"/>
    <x v="427"/>
    <x v="1"/>
    <x v="49"/>
    <x v="1"/>
    <x v="4"/>
    <x v="36"/>
    <x v="12"/>
    <x v="164"/>
    <x v="3"/>
    <x v="4"/>
    <x v="1"/>
    <x v="0"/>
    <x v="2"/>
  </r>
  <r>
    <x v="937"/>
    <x v="88"/>
    <x v="76"/>
    <x v="3"/>
    <x v="40"/>
    <x v="35"/>
    <x v="2"/>
    <x v="96"/>
    <x v="25"/>
    <x v="172"/>
    <x v="0"/>
    <x v="1"/>
    <x v="1"/>
    <x v="5"/>
    <x v="3"/>
  </r>
  <r>
    <x v="938"/>
    <x v="50"/>
    <x v="646"/>
    <x v="7"/>
    <x v="67"/>
    <x v="40"/>
    <x v="1"/>
    <x v="61"/>
    <x v="1"/>
    <x v="262"/>
    <x v="0"/>
    <x v="5"/>
    <x v="1"/>
    <x v="5"/>
    <x v="4"/>
  </r>
  <r>
    <x v="939"/>
    <x v="50"/>
    <x v="192"/>
    <x v="3"/>
    <x v="25"/>
    <x v="23"/>
    <x v="3"/>
    <x v="39"/>
    <x v="19"/>
    <x v="96"/>
    <x v="3"/>
    <x v="5"/>
    <x v="1"/>
    <x v="0"/>
    <x v="3"/>
  </r>
  <r>
    <x v="940"/>
    <x v="30"/>
    <x v="276"/>
    <x v="0"/>
    <x v="0"/>
    <x v="14"/>
    <x v="4"/>
    <x v="56"/>
    <x v="16"/>
    <x v="59"/>
    <x v="3"/>
    <x v="2"/>
    <x v="1"/>
    <x v="1"/>
    <x v="4"/>
  </r>
  <r>
    <x v="941"/>
    <x v="73"/>
    <x v="39"/>
    <x v="4"/>
    <x v="17"/>
    <x v="5"/>
    <x v="3"/>
    <x v="177"/>
    <x v="35"/>
    <x v="364"/>
    <x v="0"/>
    <x v="5"/>
    <x v="1"/>
    <x v="1"/>
    <x v="4"/>
  </r>
  <r>
    <x v="942"/>
    <x v="38"/>
    <x v="647"/>
    <x v="1"/>
    <x v="37"/>
    <x v="18"/>
    <x v="0"/>
    <x v="40"/>
    <x v="22"/>
    <x v="113"/>
    <x v="0"/>
    <x v="6"/>
    <x v="1"/>
    <x v="3"/>
    <x v="0"/>
  </r>
  <r>
    <x v="943"/>
    <x v="44"/>
    <x v="648"/>
    <x v="6"/>
    <x v="7"/>
    <x v="56"/>
    <x v="4"/>
    <x v="33"/>
    <x v="23"/>
    <x v="263"/>
    <x v="5"/>
    <x v="6"/>
    <x v="1"/>
    <x v="5"/>
    <x v="2"/>
  </r>
  <r>
    <x v="944"/>
    <x v="41"/>
    <x v="446"/>
    <x v="0"/>
    <x v="0"/>
    <x v="0"/>
    <x v="4"/>
    <x v="21"/>
    <x v="29"/>
    <x v="61"/>
    <x v="1"/>
    <x v="1"/>
    <x v="1"/>
    <x v="4"/>
    <x v="5"/>
  </r>
  <r>
    <x v="945"/>
    <x v="3"/>
    <x v="2"/>
    <x v="3"/>
    <x v="4"/>
    <x v="9"/>
    <x v="0"/>
    <x v="31"/>
    <x v="6"/>
    <x v="161"/>
    <x v="1"/>
    <x v="2"/>
    <x v="1"/>
    <x v="5"/>
    <x v="0"/>
  </r>
  <r>
    <x v="946"/>
    <x v="88"/>
    <x v="38"/>
    <x v="0"/>
    <x v="51"/>
    <x v="10"/>
    <x v="4"/>
    <x v="46"/>
    <x v="43"/>
    <x v="5"/>
    <x v="1"/>
    <x v="4"/>
    <x v="1"/>
    <x v="1"/>
    <x v="5"/>
  </r>
  <r>
    <x v="947"/>
    <x v="80"/>
    <x v="649"/>
    <x v="8"/>
    <x v="57"/>
    <x v="39"/>
    <x v="4"/>
    <x v="54"/>
    <x v="0"/>
    <x v="68"/>
    <x v="1"/>
    <x v="1"/>
    <x v="1"/>
    <x v="5"/>
    <x v="6"/>
  </r>
  <r>
    <x v="948"/>
    <x v="72"/>
    <x v="650"/>
    <x v="6"/>
    <x v="43"/>
    <x v="64"/>
    <x v="0"/>
    <x v="69"/>
    <x v="21"/>
    <x v="35"/>
    <x v="0"/>
    <x v="5"/>
    <x v="1"/>
    <x v="7"/>
    <x v="2"/>
  </r>
  <r>
    <x v="949"/>
    <x v="31"/>
    <x v="651"/>
    <x v="5"/>
    <x v="56"/>
    <x v="16"/>
    <x v="0"/>
    <x v="23"/>
    <x v="14"/>
    <x v="365"/>
    <x v="0"/>
    <x v="4"/>
    <x v="1"/>
    <x v="8"/>
    <x v="4"/>
  </r>
  <r>
    <x v="950"/>
    <x v="70"/>
    <x v="95"/>
    <x v="3"/>
    <x v="45"/>
    <x v="9"/>
    <x v="0"/>
    <x v="102"/>
    <x v="0"/>
    <x v="184"/>
    <x v="3"/>
    <x v="5"/>
    <x v="1"/>
    <x v="3"/>
    <x v="3"/>
  </r>
  <r>
    <x v="951"/>
    <x v="54"/>
    <x v="652"/>
    <x v="0"/>
    <x v="0"/>
    <x v="14"/>
    <x v="1"/>
    <x v="16"/>
    <x v="44"/>
    <x v="81"/>
    <x v="1"/>
    <x v="4"/>
    <x v="1"/>
    <x v="0"/>
    <x v="4"/>
  </r>
  <r>
    <x v="952"/>
    <x v="20"/>
    <x v="653"/>
    <x v="7"/>
    <x v="50"/>
    <x v="50"/>
    <x v="1"/>
    <x v="15"/>
    <x v="0"/>
    <x v="134"/>
    <x v="0"/>
    <x v="6"/>
    <x v="1"/>
    <x v="3"/>
    <x v="2"/>
  </r>
  <r>
    <x v="953"/>
    <x v="72"/>
    <x v="654"/>
    <x v="0"/>
    <x v="0"/>
    <x v="42"/>
    <x v="2"/>
    <x v="60"/>
    <x v="29"/>
    <x v="49"/>
    <x v="0"/>
    <x v="4"/>
    <x v="1"/>
    <x v="7"/>
    <x v="3"/>
  </r>
  <r>
    <x v="954"/>
    <x v="71"/>
    <x v="235"/>
    <x v="8"/>
    <x v="34"/>
    <x v="36"/>
    <x v="4"/>
    <x v="0"/>
    <x v="4"/>
    <x v="95"/>
    <x v="0"/>
    <x v="6"/>
    <x v="1"/>
    <x v="5"/>
    <x v="3"/>
  </r>
  <r>
    <x v="955"/>
    <x v="82"/>
    <x v="321"/>
    <x v="1"/>
    <x v="37"/>
    <x v="37"/>
    <x v="0"/>
    <x v="20"/>
    <x v="0"/>
    <x v="152"/>
    <x v="4"/>
    <x v="2"/>
    <x v="1"/>
    <x v="3"/>
    <x v="0"/>
  </r>
  <r>
    <x v="956"/>
    <x v="79"/>
    <x v="655"/>
    <x v="2"/>
    <x v="3"/>
    <x v="59"/>
    <x v="5"/>
    <x v="178"/>
    <x v="28"/>
    <x v="140"/>
    <x v="0"/>
    <x v="0"/>
    <x v="0"/>
    <x v="7"/>
    <x v="3"/>
  </r>
  <r>
    <x v="957"/>
    <x v="30"/>
    <x v="656"/>
    <x v="0"/>
    <x v="65"/>
    <x v="0"/>
    <x v="2"/>
    <x v="16"/>
    <x v="1"/>
    <x v="366"/>
    <x v="4"/>
    <x v="2"/>
    <x v="1"/>
    <x v="7"/>
    <x v="4"/>
  </r>
  <r>
    <x v="958"/>
    <x v="30"/>
    <x v="657"/>
    <x v="2"/>
    <x v="30"/>
    <x v="67"/>
    <x v="4"/>
    <x v="111"/>
    <x v="37"/>
    <x v="367"/>
    <x v="0"/>
    <x v="2"/>
    <x v="1"/>
    <x v="2"/>
    <x v="5"/>
  </r>
  <r>
    <x v="959"/>
    <x v="40"/>
    <x v="658"/>
    <x v="2"/>
    <x v="70"/>
    <x v="53"/>
    <x v="2"/>
    <x v="68"/>
    <x v="22"/>
    <x v="253"/>
    <x v="0"/>
    <x v="1"/>
    <x v="1"/>
    <x v="4"/>
    <x v="2"/>
  </r>
  <r>
    <x v="960"/>
    <x v="15"/>
    <x v="659"/>
    <x v="2"/>
    <x v="8"/>
    <x v="3"/>
    <x v="3"/>
    <x v="64"/>
    <x v="37"/>
    <x v="99"/>
    <x v="3"/>
    <x v="1"/>
    <x v="1"/>
    <x v="1"/>
    <x v="3"/>
  </r>
  <r>
    <x v="961"/>
    <x v="10"/>
    <x v="445"/>
    <x v="1"/>
    <x v="49"/>
    <x v="46"/>
    <x v="3"/>
    <x v="90"/>
    <x v="28"/>
    <x v="138"/>
    <x v="3"/>
    <x v="1"/>
    <x v="1"/>
    <x v="3"/>
    <x v="5"/>
  </r>
  <r>
    <x v="962"/>
    <x v="2"/>
    <x v="660"/>
    <x v="8"/>
    <x v="52"/>
    <x v="19"/>
    <x v="1"/>
    <x v="179"/>
    <x v="28"/>
    <x v="368"/>
    <x v="0"/>
    <x v="5"/>
    <x v="1"/>
    <x v="0"/>
    <x v="0"/>
  </r>
  <r>
    <x v="963"/>
    <x v="43"/>
    <x v="661"/>
    <x v="3"/>
    <x v="10"/>
    <x v="9"/>
    <x v="1"/>
    <x v="22"/>
    <x v="44"/>
    <x v="207"/>
    <x v="1"/>
    <x v="1"/>
    <x v="1"/>
    <x v="2"/>
    <x v="2"/>
  </r>
  <r>
    <x v="964"/>
    <x v="82"/>
    <x v="662"/>
    <x v="3"/>
    <x v="10"/>
    <x v="12"/>
    <x v="1"/>
    <x v="91"/>
    <x v="13"/>
    <x v="347"/>
    <x v="2"/>
    <x v="5"/>
    <x v="1"/>
    <x v="3"/>
    <x v="3"/>
  </r>
  <r>
    <x v="965"/>
    <x v="86"/>
    <x v="663"/>
    <x v="6"/>
    <x v="9"/>
    <x v="8"/>
    <x v="3"/>
    <x v="52"/>
    <x v="4"/>
    <x v="137"/>
    <x v="0"/>
    <x v="0"/>
    <x v="0"/>
    <x v="3"/>
    <x v="3"/>
  </r>
  <r>
    <x v="966"/>
    <x v="60"/>
    <x v="664"/>
    <x v="0"/>
    <x v="65"/>
    <x v="42"/>
    <x v="1"/>
    <x v="18"/>
    <x v="2"/>
    <x v="6"/>
    <x v="1"/>
    <x v="2"/>
    <x v="1"/>
    <x v="5"/>
    <x v="6"/>
  </r>
  <r>
    <x v="967"/>
    <x v="75"/>
    <x v="641"/>
    <x v="6"/>
    <x v="27"/>
    <x v="48"/>
    <x v="4"/>
    <x v="4"/>
    <x v="4"/>
    <x v="369"/>
    <x v="1"/>
    <x v="3"/>
    <x v="0"/>
    <x v="8"/>
    <x v="6"/>
  </r>
  <r>
    <x v="968"/>
    <x v="42"/>
    <x v="665"/>
    <x v="3"/>
    <x v="10"/>
    <x v="52"/>
    <x v="5"/>
    <x v="78"/>
    <x v="8"/>
    <x v="370"/>
    <x v="5"/>
    <x v="2"/>
    <x v="1"/>
    <x v="2"/>
    <x v="2"/>
  </r>
  <r>
    <x v="969"/>
    <x v="30"/>
    <x v="666"/>
    <x v="3"/>
    <x v="4"/>
    <x v="28"/>
    <x v="5"/>
    <x v="79"/>
    <x v="37"/>
    <x v="342"/>
    <x v="5"/>
    <x v="7"/>
    <x v="0"/>
    <x v="7"/>
    <x v="0"/>
  </r>
  <r>
    <x v="970"/>
    <x v="35"/>
    <x v="33"/>
    <x v="8"/>
    <x v="52"/>
    <x v="47"/>
    <x v="4"/>
    <x v="17"/>
    <x v="32"/>
    <x v="99"/>
    <x v="2"/>
    <x v="4"/>
    <x v="1"/>
    <x v="2"/>
    <x v="3"/>
  </r>
  <r>
    <x v="971"/>
    <x v="21"/>
    <x v="667"/>
    <x v="4"/>
    <x v="23"/>
    <x v="5"/>
    <x v="1"/>
    <x v="65"/>
    <x v="22"/>
    <x v="133"/>
    <x v="5"/>
    <x v="7"/>
    <x v="0"/>
    <x v="3"/>
    <x v="0"/>
  </r>
  <r>
    <x v="972"/>
    <x v="20"/>
    <x v="0"/>
    <x v="3"/>
    <x v="25"/>
    <x v="32"/>
    <x v="1"/>
    <x v="18"/>
    <x v="0"/>
    <x v="94"/>
    <x v="0"/>
    <x v="0"/>
    <x v="0"/>
    <x v="5"/>
    <x v="2"/>
  </r>
  <r>
    <x v="973"/>
    <x v="22"/>
    <x v="589"/>
    <x v="4"/>
    <x v="5"/>
    <x v="26"/>
    <x v="5"/>
    <x v="124"/>
    <x v="1"/>
    <x v="371"/>
    <x v="0"/>
    <x v="6"/>
    <x v="1"/>
    <x v="2"/>
    <x v="0"/>
  </r>
  <r>
    <x v="974"/>
    <x v="15"/>
    <x v="306"/>
    <x v="0"/>
    <x v="0"/>
    <x v="14"/>
    <x v="1"/>
    <x v="16"/>
    <x v="16"/>
    <x v="199"/>
    <x v="0"/>
    <x v="1"/>
    <x v="1"/>
    <x v="1"/>
    <x v="2"/>
  </r>
  <r>
    <x v="975"/>
    <x v="26"/>
    <x v="668"/>
    <x v="6"/>
    <x v="60"/>
    <x v="34"/>
    <x v="1"/>
    <x v="73"/>
    <x v="22"/>
    <x v="260"/>
    <x v="0"/>
    <x v="0"/>
    <x v="0"/>
    <x v="0"/>
    <x v="0"/>
  </r>
  <r>
    <x v="976"/>
    <x v="29"/>
    <x v="669"/>
    <x v="1"/>
    <x v="21"/>
    <x v="51"/>
    <x v="1"/>
    <x v="180"/>
    <x v="54"/>
    <x v="280"/>
    <x v="4"/>
    <x v="0"/>
    <x v="0"/>
    <x v="2"/>
    <x v="4"/>
  </r>
  <r>
    <x v="977"/>
    <x v="68"/>
    <x v="459"/>
    <x v="7"/>
    <x v="12"/>
    <x v="54"/>
    <x v="2"/>
    <x v="38"/>
    <x v="4"/>
    <x v="327"/>
    <x v="0"/>
    <x v="5"/>
    <x v="1"/>
    <x v="8"/>
    <x v="3"/>
  </r>
  <r>
    <x v="978"/>
    <x v="7"/>
    <x v="143"/>
    <x v="0"/>
    <x v="11"/>
    <x v="22"/>
    <x v="0"/>
    <x v="66"/>
    <x v="19"/>
    <x v="44"/>
    <x v="0"/>
    <x v="0"/>
    <x v="0"/>
    <x v="10"/>
    <x v="0"/>
  </r>
  <r>
    <x v="979"/>
    <x v="15"/>
    <x v="670"/>
    <x v="8"/>
    <x v="38"/>
    <x v="36"/>
    <x v="2"/>
    <x v="73"/>
    <x v="21"/>
    <x v="89"/>
    <x v="3"/>
    <x v="6"/>
    <x v="1"/>
    <x v="5"/>
    <x v="6"/>
  </r>
  <r>
    <x v="980"/>
    <x v="64"/>
    <x v="203"/>
    <x v="0"/>
    <x v="11"/>
    <x v="14"/>
    <x v="3"/>
    <x v="176"/>
    <x v="14"/>
    <x v="372"/>
    <x v="3"/>
    <x v="2"/>
    <x v="1"/>
    <x v="8"/>
    <x v="5"/>
  </r>
  <r>
    <x v="981"/>
    <x v="15"/>
    <x v="671"/>
    <x v="1"/>
    <x v="1"/>
    <x v="51"/>
    <x v="1"/>
    <x v="22"/>
    <x v="12"/>
    <x v="82"/>
    <x v="3"/>
    <x v="6"/>
    <x v="1"/>
    <x v="7"/>
    <x v="4"/>
  </r>
  <r>
    <x v="982"/>
    <x v="4"/>
    <x v="672"/>
    <x v="8"/>
    <x v="38"/>
    <x v="39"/>
    <x v="1"/>
    <x v="66"/>
    <x v="37"/>
    <x v="171"/>
    <x v="0"/>
    <x v="5"/>
    <x v="1"/>
    <x v="0"/>
    <x v="5"/>
  </r>
  <r>
    <x v="983"/>
    <x v="6"/>
    <x v="673"/>
    <x v="3"/>
    <x v="40"/>
    <x v="32"/>
    <x v="4"/>
    <x v="68"/>
    <x v="4"/>
    <x v="54"/>
    <x v="1"/>
    <x v="1"/>
    <x v="1"/>
    <x v="2"/>
    <x v="3"/>
  </r>
  <r>
    <x v="984"/>
    <x v="14"/>
    <x v="674"/>
    <x v="8"/>
    <x v="62"/>
    <x v="36"/>
    <x v="1"/>
    <x v="63"/>
    <x v="7"/>
    <x v="89"/>
    <x v="0"/>
    <x v="2"/>
    <x v="1"/>
    <x v="7"/>
    <x v="0"/>
  </r>
  <r>
    <x v="985"/>
    <x v="19"/>
    <x v="194"/>
    <x v="6"/>
    <x v="9"/>
    <x v="7"/>
    <x v="5"/>
    <x v="52"/>
    <x v="37"/>
    <x v="51"/>
    <x v="3"/>
    <x v="2"/>
    <x v="1"/>
    <x v="3"/>
    <x v="2"/>
  </r>
  <r>
    <x v="986"/>
    <x v="6"/>
    <x v="41"/>
    <x v="5"/>
    <x v="44"/>
    <x v="63"/>
    <x v="5"/>
    <x v="21"/>
    <x v="32"/>
    <x v="84"/>
    <x v="0"/>
    <x v="4"/>
    <x v="1"/>
    <x v="0"/>
    <x v="3"/>
  </r>
  <r>
    <x v="987"/>
    <x v="39"/>
    <x v="675"/>
    <x v="2"/>
    <x v="66"/>
    <x v="31"/>
    <x v="0"/>
    <x v="13"/>
    <x v="10"/>
    <x v="309"/>
    <x v="1"/>
    <x v="0"/>
    <x v="0"/>
    <x v="2"/>
    <x v="4"/>
  </r>
  <r>
    <x v="988"/>
    <x v="50"/>
    <x v="222"/>
    <x v="3"/>
    <x v="40"/>
    <x v="4"/>
    <x v="3"/>
    <x v="33"/>
    <x v="21"/>
    <x v="74"/>
    <x v="3"/>
    <x v="6"/>
    <x v="1"/>
    <x v="5"/>
    <x v="2"/>
  </r>
  <r>
    <x v="989"/>
    <x v="85"/>
    <x v="4"/>
    <x v="0"/>
    <x v="36"/>
    <x v="0"/>
    <x v="2"/>
    <x v="181"/>
    <x v="63"/>
    <x v="373"/>
    <x v="0"/>
    <x v="4"/>
    <x v="1"/>
    <x v="1"/>
    <x v="0"/>
  </r>
  <r>
    <x v="990"/>
    <x v="9"/>
    <x v="227"/>
    <x v="1"/>
    <x v="49"/>
    <x v="37"/>
    <x v="1"/>
    <x v="26"/>
    <x v="6"/>
    <x v="204"/>
    <x v="0"/>
    <x v="5"/>
    <x v="1"/>
    <x v="7"/>
    <x v="4"/>
  </r>
  <r>
    <x v="991"/>
    <x v="40"/>
    <x v="334"/>
    <x v="1"/>
    <x v="1"/>
    <x v="68"/>
    <x v="0"/>
    <x v="81"/>
    <x v="29"/>
    <x v="307"/>
    <x v="1"/>
    <x v="6"/>
    <x v="1"/>
    <x v="0"/>
    <x v="3"/>
  </r>
  <r>
    <x v="992"/>
    <x v="70"/>
    <x v="84"/>
    <x v="2"/>
    <x v="61"/>
    <x v="59"/>
    <x v="1"/>
    <x v="84"/>
    <x v="13"/>
    <x v="293"/>
    <x v="0"/>
    <x v="1"/>
    <x v="1"/>
    <x v="1"/>
    <x v="2"/>
  </r>
  <r>
    <x v="993"/>
    <x v="24"/>
    <x v="430"/>
    <x v="6"/>
    <x v="27"/>
    <x v="48"/>
    <x v="1"/>
    <x v="96"/>
    <x v="8"/>
    <x v="143"/>
    <x v="0"/>
    <x v="4"/>
    <x v="1"/>
    <x v="0"/>
    <x v="0"/>
  </r>
  <r>
    <x v="994"/>
    <x v="41"/>
    <x v="163"/>
    <x v="7"/>
    <x v="58"/>
    <x v="55"/>
    <x v="4"/>
    <x v="52"/>
    <x v="4"/>
    <x v="308"/>
    <x v="0"/>
    <x v="2"/>
    <x v="1"/>
    <x v="0"/>
    <x v="1"/>
  </r>
  <r>
    <x v="995"/>
    <x v="13"/>
    <x v="676"/>
    <x v="7"/>
    <x v="67"/>
    <x v="11"/>
    <x v="1"/>
    <x v="12"/>
    <x v="4"/>
    <x v="180"/>
    <x v="1"/>
    <x v="3"/>
    <x v="0"/>
    <x v="7"/>
    <x v="2"/>
  </r>
  <r>
    <x v="996"/>
    <x v="33"/>
    <x v="341"/>
    <x v="0"/>
    <x v="19"/>
    <x v="22"/>
    <x v="1"/>
    <x v="39"/>
    <x v="36"/>
    <x v="100"/>
    <x v="0"/>
    <x v="1"/>
    <x v="1"/>
    <x v="5"/>
    <x v="7"/>
  </r>
  <r>
    <x v="997"/>
    <x v="88"/>
    <x v="677"/>
    <x v="2"/>
    <x v="61"/>
    <x v="31"/>
    <x v="3"/>
    <x v="158"/>
    <x v="15"/>
    <x v="374"/>
    <x v="0"/>
    <x v="2"/>
    <x v="1"/>
    <x v="0"/>
    <x v="0"/>
  </r>
  <r>
    <x v="998"/>
    <x v="5"/>
    <x v="202"/>
    <x v="0"/>
    <x v="47"/>
    <x v="22"/>
    <x v="2"/>
    <x v="14"/>
    <x v="24"/>
    <x v="345"/>
    <x v="3"/>
    <x v="1"/>
    <x v="1"/>
    <x v="1"/>
    <x v="2"/>
  </r>
  <r>
    <x v="999"/>
    <x v="4"/>
    <x v="678"/>
    <x v="4"/>
    <x v="20"/>
    <x v="13"/>
    <x v="2"/>
    <x v="8"/>
    <x v="6"/>
    <x v="313"/>
    <x v="3"/>
    <x v="0"/>
    <x v="0"/>
    <x v="2"/>
    <x v="5"/>
  </r>
  <r>
    <x v="1000"/>
    <x v="1"/>
    <x v="679"/>
    <x v="1"/>
    <x v="2"/>
    <x v="18"/>
    <x v="1"/>
    <x v="81"/>
    <x v="29"/>
    <x v="296"/>
    <x v="3"/>
    <x v="4"/>
    <x v="1"/>
    <x v="8"/>
    <x v="2"/>
  </r>
  <r>
    <x v="1001"/>
    <x v="22"/>
    <x v="680"/>
    <x v="1"/>
    <x v="59"/>
    <x v="27"/>
    <x v="2"/>
    <x v="18"/>
    <x v="12"/>
    <x v="366"/>
    <x v="2"/>
    <x v="1"/>
    <x v="1"/>
    <x v="0"/>
    <x v="3"/>
  </r>
  <r>
    <x v="1002"/>
    <x v="74"/>
    <x v="459"/>
    <x v="1"/>
    <x v="2"/>
    <x v="2"/>
    <x v="0"/>
    <x v="153"/>
    <x v="17"/>
    <x v="375"/>
    <x v="2"/>
    <x v="5"/>
    <x v="1"/>
    <x v="1"/>
    <x v="0"/>
  </r>
  <r>
    <x v="1003"/>
    <x v="39"/>
    <x v="681"/>
    <x v="0"/>
    <x v="19"/>
    <x v="49"/>
    <x v="1"/>
    <x v="77"/>
    <x v="10"/>
    <x v="78"/>
    <x v="0"/>
    <x v="2"/>
    <x v="1"/>
    <x v="1"/>
    <x v="4"/>
  </r>
  <r>
    <x v="1004"/>
    <x v="10"/>
    <x v="440"/>
    <x v="5"/>
    <x v="6"/>
    <x v="6"/>
    <x v="2"/>
    <x v="105"/>
    <x v="1"/>
    <x v="104"/>
    <x v="1"/>
    <x v="1"/>
    <x v="1"/>
    <x v="2"/>
    <x v="5"/>
  </r>
  <r>
    <x v="1005"/>
    <x v="57"/>
    <x v="682"/>
    <x v="3"/>
    <x v="45"/>
    <x v="28"/>
    <x v="3"/>
    <x v="68"/>
    <x v="24"/>
    <x v="78"/>
    <x v="0"/>
    <x v="4"/>
    <x v="1"/>
    <x v="7"/>
    <x v="0"/>
  </r>
  <r>
    <x v="1006"/>
    <x v="20"/>
    <x v="388"/>
    <x v="6"/>
    <x v="60"/>
    <x v="34"/>
    <x v="1"/>
    <x v="64"/>
    <x v="19"/>
    <x v="21"/>
    <x v="0"/>
    <x v="1"/>
    <x v="1"/>
    <x v="3"/>
    <x v="2"/>
  </r>
  <r>
    <x v="1007"/>
    <x v="71"/>
    <x v="683"/>
    <x v="7"/>
    <x v="16"/>
    <x v="54"/>
    <x v="0"/>
    <x v="21"/>
    <x v="30"/>
    <x v="234"/>
    <x v="1"/>
    <x v="4"/>
    <x v="1"/>
    <x v="3"/>
    <x v="0"/>
  </r>
  <r>
    <x v="1008"/>
    <x v="27"/>
    <x v="608"/>
    <x v="0"/>
    <x v="13"/>
    <x v="49"/>
    <x v="4"/>
    <x v="52"/>
    <x v="19"/>
    <x v="376"/>
    <x v="1"/>
    <x v="0"/>
    <x v="0"/>
    <x v="7"/>
    <x v="2"/>
  </r>
  <r>
    <x v="1009"/>
    <x v="67"/>
    <x v="288"/>
    <x v="0"/>
    <x v="11"/>
    <x v="22"/>
    <x v="1"/>
    <x v="111"/>
    <x v="23"/>
    <x v="203"/>
    <x v="1"/>
    <x v="6"/>
    <x v="1"/>
    <x v="2"/>
    <x v="2"/>
  </r>
  <r>
    <x v="1010"/>
    <x v="5"/>
    <x v="684"/>
    <x v="0"/>
    <x v="13"/>
    <x v="10"/>
    <x v="4"/>
    <x v="46"/>
    <x v="7"/>
    <x v="208"/>
    <x v="1"/>
    <x v="2"/>
    <x v="1"/>
    <x v="1"/>
    <x v="6"/>
  </r>
  <r>
    <x v="1011"/>
    <x v="18"/>
    <x v="89"/>
    <x v="5"/>
    <x v="68"/>
    <x v="62"/>
    <x v="1"/>
    <x v="142"/>
    <x v="23"/>
    <x v="22"/>
    <x v="1"/>
    <x v="1"/>
    <x v="1"/>
    <x v="10"/>
    <x v="0"/>
  </r>
  <r>
    <x v="1012"/>
    <x v="30"/>
    <x v="685"/>
    <x v="2"/>
    <x v="30"/>
    <x v="69"/>
    <x v="0"/>
    <x v="158"/>
    <x v="2"/>
    <x v="252"/>
    <x v="0"/>
    <x v="4"/>
    <x v="1"/>
    <x v="10"/>
    <x v="2"/>
  </r>
  <r>
    <x v="1013"/>
    <x v="4"/>
    <x v="686"/>
    <x v="1"/>
    <x v="1"/>
    <x v="1"/>
    <x v="3"/>
    <x v="113"/>
    <x v="23"/>
    <x v="275"/>
    <x v="4"/>
    <x v="2"/>
    <x v="1"/>
    <x v="3"/>
    <x v="4"/>
  </r>
  <r>
    <x v="1014"/>
    <x v="57"/>
    <x v="687"/>
    <x v="7"/>
    <x v="58"/>
    <x v="24"/>
    <x v="4"/>
    <x v="52"/>
    <x v="4"/>
    <x v="377"/>
    <x v="0"/>
    <x v="4"/>
    <x v="1"/>
    <x v="7"/>
    <x v="2"/>
  </r>
  <r>
    <x v="1015"/>
    <x v="41"/>
    <x v="688"/>
    <x v="6"/>
    <x v="27"/>
    <x v="48"/>
    <x v="4"/>
    <x v="97"/>
    <x v="19"/>
    <x v="180"/>
    <x v="3"/>
    <x v="1"/>
    <x v="1"/>
    <x v="8"/>
    <x v="0"/>
  </r>
  <r>
    <x v="1016"/>
    <x v="29"/>
    <x v="689"/>
    <x v="5"/>
    <x v="56"/>
    <x v="62"/>
    <x v="4"/>
    <x v="52"/>
    <x v="4"/>
    <x v="367"/>
    <x v="0"/>
    <x v="1"/>
    <x v="1"/>
    <x v="7"/>
    <x v="0"/>
  </r>
  <r>
    <x v="1017"/>
    <x v="83"/>
    <x v="235"/>
    <x v="5"/>
    <x v="41"/>
    <x v="16"/>
    <x v="1"/>
    <x v="113"/>
    <x v="4"/>
    <x v="155"/>
    <x v="3"/>
    <x v="6"/>
    <x v="1"/>
    <x v="7"/>
    <x v="3"/>
  </r>
  <r>
    <x v="1018"/>
    <x v="9"/>
    <x v="17"/>
    <x v="5"/>
    <x v="53"/>
    <x v="62"/>
    <x v="1"/>
    <x v="63"/>
    <x v="4"/>
    <x v="128"/>
    <x v="3"/>
    <x v="5"/>
    <x v="1"/>
    <x v="5"/>
    <x v="2"/>
  </r>
  <r>
    <x v="1019"/>
    <x v="43"/>
    <x v="324"/>
    <x v="8"/>
    <x v="52"/>
    <x v="44"/>
    <x v="1"/>
    <x v="39"/>
    <x v="36"/>
    <x v="149"/>
    <x v="0"/>
    <x v="6"/>
    <x v="1"/>
    <x v="7"/>
    <x v="5"/>
  </r>
  <r>
    <x v="1020"/>
    <x v="61"/>
    <x v="9"/>
    <x v="3"/>
    <x v="25"/>
    <x v="9"/>
    <x v="1"/>
    <x v="159"/>
    <x v="22"/>
    <x v="103"/>
    <x v="1"/>
    <x v="5"/>
    <x v="1"/>
    <x v="3"/>
    <x v="0"/>
  </r>
  <r>
    <x v="1021"/>
    <x v="74"/>
    <x v="690"/>
    <x v="1"/>
    <x v="37"/>
    <x v="1"/>
    <x v="4"/>
    <x v="105"/>
    <x v="8"/>
    <x v="267"/>
    <x v="5"/>
    <x v="7"/>
    <x v="0"/>
    <x v="3"/>
    <x v="6"/>
  </r>
  <r>
    <x v="1022"/>
    <x v="0"/>
    <x v="691"/>
    <x v="0"/>
    <x v="65"/>
    <x v="42"/>
    <x v="1"/>
    <x v="16"/>
    <x v="32"/>
    <x v="110"/>
    <x v="1"/>
    <x v="5"/>
    <x v="1"/>
    <x v="2"/>
    <x v="4"/>
  </r>
  <r>
    <x v="1023"/>
    <x v="81"/>
    <x v="692"/>
    <x v="2"/>
    <x v="30"/>
    <x v="69"/>
    <x v="4"/>
    <x v="62"/>
    <x v="22"/>
    <x v="103"/>
    <x v="0"/>
    <x v="2"/>
    <x v="1"/>
    <x v="7"/>
    <x v="4"/>
  </r>
  <r>
    <x v="1024"/>
    <x v="65"/>
    <x v="192"/>
    <x v="6"/>
    <x v="18"/>
    <x v="7"/>
    <x v="1"/>
    <x v="113"/>
    <x v="43"/>
    <x v="85"/>
    <x v="4"/>
    <x v="5"/>
    <x v="1"/>
    <x v="2"/>
    <x v="6"/>
  </r>
  <r>
    <x v="1025"/>
    <x v="51"/>
    <x v="396"/>
    <x v="5"/>
    <x v="71"/>
    <x v="43"/>
    <x v="4"/>
    <x v="111"/>
    <x v="4"/>
    <x v="378"/>
    <x v="0"/>
    <x v="6"/>
    <x v="1"/>
    <x v="1"/>
    <x v="3"/>
  </r>
  <r>
    <x v="1026"/>
    <x v="73"/>
    <x v="643"/>
    <x v="4"/>
    <x v="15"/>
    <x v="21"/>
    <x v="0"/>
    <x v="5"/>
    <x v="37"/>
    <x v="121"/>
    <x v="0"/>
    <x v="6"/>
    <x v="1"/>
    <x v="2"/>
    <x v="4"/>
  </r>
  <r>
    <x v="1027"/>
    <x v="23"/>
    <x v="693"/>
    <x v="2"/>
    <x v="66"/>
    <x v="3"/>
    <x v="3"/>
    <x v="38"/>
    <x v="19"/>
    <x v="329"/>
    <x v="1"/>
    <x v="3"/>
    <x v="0"/>
    <x v="3"/>
    <x v="6"/>
  </r>
  <r>
    <x v="1028"/>
    <x v="38"/>
    <x v="694"/>
    <x v="8"/>
    <x v="34"/>
    <x v="39"/>
    <x v="5"/>
    <x v="13"/>
    <x v="30"/>
    <x v="183"/>
    <x v="1"/>
    <x v="5"/>
    <x v="1"/>
    <x v="1"/>
    <x v="5"/>
  </r>
  <r>
    <x v="1029"/>
    <x v="74"/>
    <x v="370"/>
    <x v="3"/>
    <x v="4"/>
    <x v="12"/>
    <x v="0"/>
    <x v="101"/>
    <x v="13"/>
    <x v="165"/>
    <x v="1"/>
    <x v="5"/>
    <x v="1"/>
    <x v="0"/>
    <x v="4"/>
  </r>
  <r>
    <x v="1030"/>
    <x v="55"/>
    <x v="695"/>
    <x v="4"/>
    <x v="28"/>
    <x v="38"/>
    <x v="3"/>
    <x v="182"/>
    <x v="35"/>
    <x v="216"/>
    <x v="3"/>
    <x v="7"/>
    <x v="0"/>
    <x v="2"/>
    <x v="5"/>
  </r>
  <r>
    <x v="1031"/>
    <x v="16"/>
    <x v="119"/>
    <x v="1"/>
    <x v="33"/>
    <x v="27"/>
    <x v="1"/>
    <x v="39"/>
    <x v="6"/>
    <x v="33"/>
    <x v="0"/>
    <x v="1"/>
    <x v="1"/>
    <x v="5"/>
    <x v="6"/>
  </r>
  <r>
    <x v="1032"/>
    <x v="53"/>
    <x v="696"/>
    <x v="2"/>
    <x v="3"/>
    <x v="59"/>
    <x v="4"/>
    <x v="52"/>
    <x v="4"/>
    <x v="69"/>
    <x v="0"/>
    <x v="4"/>
    <x v="1"/>
    <x v="8"/>
    <x v="2"/>
  </r>
  <r>
    <x v="1033"/>
    <x v="0"/>
    <x v="697"/>
    <x v="6"/>
    <x v="60"/>
    <x v="56"/>
    <x v="4"/>
    <x v="65"/>
    <x v="22"/>
    <x v="210"/>
    <x v="0"/>
    <x v="1"/>
    <x v="1"/>
    <x v="3"/>
    <x v="4"/>
  </r>
  <r>
    <x v="1034"/>
    <x v="74"/>
    <x v="459"/>
    <x v="0"/>
    <x v="36"/>
    <x v="49"/>
    <x v="4"/>
    <x v="127"/>
    <x v="32"/>
    <x v="219"/>
    <x v="1"/>
    <x v="5"/>
    <x v="1"/>
    <x v="2"/>
    <x v="2"/>
  </r>
  <r>
    <x v="1035"/>
    <x v="45"/>
    <x v="45"/>
    <x v="1"/>
    <x v="1"/>
    <x v="1"/>
    <x v="1"/>
    <x v="90"/>
    <x v="62"/>
    <x v="126"/>
    <x v="0"/>
    <x v="6"/>
    <x v="1"/>
    <x v="7"/>
    <x v="5"/>
  </r>
  <r>
    <x v="1036"/>
    <x v="31"/>
    <x v="698"/>
    <x v="7"/>
    <x v="63"/>
    <x v="24"/>
    <x v="1"/>
    <x v="141"/>
    <x v="47"/>
    <x v="379"/>
    <x v="0"/>
    <x v="0"/>
    <x v="0"/>
    <x v="8"/>
    <x v="3"/>
  </r>
  <r>
    <x v="1037"/>
    <x v="26"/>
    <x v="699"/>
    <x v="4"/>
    <x v="42"/>
    <x v="70"/>
    <x v="0"/>
    <x v="115"/>
    <x v="15"/>
    <x v="307"/>
    <x v="0"/>
    <x v="2"/>
    <x v="1"/>
    <x v="7"/>
    <x v="2"/>
  </r>
  <r>
    <x v="1038"/>
    <x v="67"/>
    <x v="700"/>
    <x v="4"/>
    <x v="5"/>
    <x v="38"/>
    <x v="5"/>
    <x v="110"/>
    <x v="10"/>
    <x v="380"/>
    <x v="2"/>
    <x v="3"/>
    <x v="0"/>
    <x v="7"/>
    <x v="3"/>
  </r>
  <r>
    <x v="1039"/>
    <x v="22"/>
    <x v="652"/>
    <x v="2"/>
    <x v="55"/>
    <x v="29"/>
    <x v="4"/>
    <x v="78"/>
    <x v="13"/>
    <x v="204"/>
    <x v="2"/>
    <x v="4"/>
    <x v="1"/>
    <x v="4"/>
    <x v="2"/>
  </r>
  <r>
    <x v="1040"/>
    <x v="61"/>
    <x v="701"/>
    <x v="3"/>
    <x v="14"/>
    <x v="12"/>
    <x v="2"/>
    <x v="110"/>
    <x v="10"/>
    <x v="174"/>
    <x v="0"/>
    <x v="0"/>
    <x v="0"/>
    <x v="1"/>
    <x v="4"/>
  </r>
  <r>
    <x v="1041"/>
    <x v="55"/>
    <x v="702"/>
    <x v="4"/>
    <x v="17"/>
    <x v="25"/>
    <x v="1"/>
    <x v="113"/>
    <x v="0"/>
    <x v="136"/>
    <x v="3"/>
    <x v="4"/>
    <x v="1"/>
    <x v="8"/>
    <x v="5"/>
  </r>
  <r>
    <x v="1042"/>
    <x v="86"/>
    <x v="703"/>
    <x v="4"/>
    <x v="20"/>
    <x v="70"/>
    <x v="0"/>
    <x v="14"/>
    <x v="37"/>
    <x v="270"/>
    <x v="0"/>
    <x v="3"/>
    <x v="0"/>
    <x v="3"/>
    <x v="6"/>
  </r>
  <r>
    <x v="1043"/>
    <x v="37"/>
    <x v="704"/>
    <x v="1"/>
    <x v="49"/>
    <x v="1"/>
    <x v="5"/>
    <x v="183"/>
    <x v="48"/>
    <x v="381"/>
    <x v="0"/>
    <x v="4"/>
    <x v="1"/>
    <x v="1"/>
    <x v="0"/>
  </r>
  <r>
    <x v="1044"/>
    <x v="14"/>
    <x v="705"/>
    <x v="3"/>
    <x v="10"/>
    <x v="23"/>
    <x v="4"/>
    <x v="105"/>
    <x v="13"/>
    <x v="114"/>
    <x v="1"/>
    <x v="6"/>
    <x v="1"/>
    <x v="2"/>
    <x v="4"/>
  </r>
  <r>
    <x v="1045"/>
    <x v="34"/>
    <x v="706"/>
    <x v="4"/>
    <x v="20"/>
    <x v="13"/>
    <x v="2"/>
    <x v="184"/>
    <x v="41"/>
    <x v="221"/>
    <x v="0"/>
    <x v="1"/>
    <x v="1"/>
    <x v="3"/>
    <x v="0"/>
  </r>
  <r>
    <x v="1046"/>
    <x v="81"/>
    <x v="471"/>
    <x v="0"/>
    <x v="51"/>
    <x v="42"/>
    <x v="2"/>
    <x v="175"/>
    <x v="27"/>
    <x v="382"/>
    <x v="3"/>
    <x v="4"/>
    <x v="1"/>
    <x v="2"/>
    <x v="0"/>
  </r>
  <r>
    <x v="1047"/>
    <x v="67"/>
    <x v="178"/>
    <x v="8"/>
    <x v="64"/>
    <x v="19"/>
    <x v="1"/>
    <x v="137"/>
    <x v="25"/>
    <x v="293"/>
    <x v="0"/>
    <x v="1"/>
    <x v="1"/>
    <x v="2"/>
    <x v="4"/>
  </r>
  <r>
    <x v="1048"/>
    <x v="78"/>
    <x v="707"/>
    <x v="4"/>
    <x v="17"/>
    <x v="13"/>
    <x v="2"/>
    <x v="185"/>
    <x v="11"/>
    <x v="257"/>
    <x v="1"/>
    <x v="7"/>
    <x v="0"/>
    <x v="7"/>
    <x v="4"/>
  </r>
  <r>
    <x v="1049"/>
    <x v="84"/>
    <x v="708"/>
    <x v="4"/>
    <x v="23"/>
    <x v="70"/>
    <x v="1"/>
    <x v="49"/>
    <x v="6"/>
    <x v="0"/>
    <x v="0"/>
    <x v="2"/>
    <x v="1"/>
    <x v="3"/>
    <x v="6"/>
  </r>
  <r>
    <x v="1050"/>
    <x v="15"/>
    <x v="709"/>
    <x v="0"/>
    <x v="47"/>
    <x v="0"/>
    <x v="4"/>
    <x v="1"/>
    <x v="52"/>
    <x v="35"/>
    <x v="1"/>
    <x v="0"/>
    <x v="0"/>
    <x v="2"/>
    <x v="4"/>
  </r>
  <r>
    <x v="1051"/>
    <x v="45"/>
    <x v="710"/>
    <x v="0"/>
    <x v="13"/>
    <x v="49"/>
    <x v="1"/>
    <x v="38"/>
    <x v="7"/>
    <x v="102"/>
    <x v="5"/>
    <x v="7"/>
    <x v="0"/>
    <x v="3"/>
    <x v="2"/>
  </r>
  <r>
    <x v="1052"/>
    <x v="24"/>
    <x v="37"/>
    <x v="7"/>
    <x v="69"/>
    <x v="24"/>
    <x v="0"/>
    <x v="63"/>
    <x v="5"/>
    <x v="161"/>
    <x v="0"/>
    <x v="5"/>
    <x v="1"/>
    <x v="3"/>
    <x v="3"/>
  </r>
  <r>
    <x v="1053"/>
    <x v="17"/>
    <x v="579"/>
    <x v="6"/>
    <x v="43"/>
    <x v="56"/>
    <x v="1"/>
    <x v="186"/>
    <x v="16"/>
    <x v="280"/>
    <x v="1"/>
    <x v="1"/>
    <x v="1"/>
    <x v="5"/>
    <x v="5"/>
  </r>
  <r>
    <x v="1054"/>
    <x v="58"/>
    <x v="711"/>
    <x v="8"/>
    <x v="22"/>
    <x v="45"/>
    <x v="2"/>
    <x v="64"/>
    <x v="4"/>
    <x v="156"/>
    <x v="0"/>
    <x v="4"/>
    <x v="1"/>
    <x v="7"/>
    <x v="3"/>
  </r>
  <r>
    <x v="1055"/>
    <x v="79"/>
    <x v="525"/>
    <x v="8"/>
    <x v="22"/>
    <x v="45"/>
    <x v="1"/>
    <x v="168"/>
    <x v="42"/>
    <x v="130"/>
    <x v="1"/>
    <x v="2"/>
    <x v="1"/>
    <x v="3"/>
    <x v="5"/>
  </r>
  <r>
    <x v="1056"/>
    <x v="39"/>
    <x v="712"/>
    <x v="2"/>
    <x v="30"/>
    <x v="58"/>
    <x v="0"/>
    <x v="56"/>
    <x v="35"/>
    <x v="383"/>
    <x v="0"/>
    <x v="4"/>
    <x v="1"/>
    <x v="7"/>
    <x v="9"/>
  </r>
  <r>
    <x v="1057"/>
    <x v="67"/>
    <x v="712"/>
    <x v="5"/>
    <x v="6"/>
    <x v="30"/>
    <x v="1"/>
    <x v="130"/>
    <x v="32"/>
    <x v="179"/>
    <x v="3"/>
    <x v="4"/>
    <x v="1"/>
    <x v="2"/>
    <x v="2"/>
  </r>
  <r>
    <x v="1058"/>
    <x v="43"/>
    <x v="713"/>
    <x v="3"/>
    <x v="4"/>
    <x v="35"/>
    <x v="4"/>
    <x v="2"/>
    <x v="13"/>
    <x v="36"/>
    <x v="0"/>
    <x v="1"/>
    <x v="1"/>
    <x v="7"/>
    <x v="2"/>
  </r>
  <r>
    <x v="1059"/>
    <x v="56"/>
    <x v="714"/>
    <x v="3"/>
    <x v="4"/>
    <x v="52"/>
    <x v="0"/>
    <x v="14"/>
    <x v="21"/>
    <x v="55"/>
    <x v="1"/>
    <x v="2"/>
    <x v="1"/>
    <x v="8"/>
    <x v="2"/>
  </r>
  <r>
    <x v="1060"/>
    <x v="55"/>
    <x v="715"/>
    <x v="8"/>
    <x v="34"/>
    <x v="39"/>
    <x v="0"/>
    <x v="40"/>
    <x v="29"/>
    <x v="243"/>
    <x v="0"/>
    <x v="5"/>
    <x v="1"/>
    <x v="2"/>
    <x v="5"/>
  </r>
  <r>
    <x v="1061"/>
    <x v="63"/>
    <x v="716"/>
    <x v="1"/>
    <x v="59"/>
    <x v="1"/>
    <x v="1"/>
    <x v="94"/>
    <x v="30"/>
    <x v="267"/>
    <x v="0"/>
    <x v="1"/>
    <x v="1"/>
    <x v="5"/>
    <x v="2"/>
  </r>
  <r>
    <x v="1062"/>
    <x v="8"/>
    <x v="717"/>
    <x v="3"/>
    <x v="10"/>
    <x v="52"/>
    <x v="4"/>
    <x v="14"/>
    <x v="19"/>
    <x v="312"/>
    <x v="1"/>
    <x v="4"/>
    <x v="1"/>
    <x v="7"/>
    <x v="6"/>
  </r>
  <r>
    <x v="1063"/>
    <x v="7"/>
    <x v="185"/>
    <x v="5"/>
    <x v="32"/>
    <x v="16"/>
    <x v="1"/>
    <x v="37"/>
    <x v="15"/>
    <x v="309"/>
    <x v="4"/>
    <x v="5"/>
    <x v="1"/>
    <x v="2"/>
    <x v="3"/>
  </r>
  <r>
    <x v="1064"/>
    <x v="30"/>
    <x v="718"/>
    <x v="1"/>
    <x v="33"/>
    <x v="27"/>
    <x v="1"/>
    <x v="18"/>
    <x v="36"/>
    <x v="93"/>
    <x v="0"/>
    <x v="4"/>
    <x v="1"/>
    <x v="0"/>
    <x v="7"/>
  </r>
  <r>
    <x v="1065"/>
    <x v="19"/>
    <x v="224"/>
    <x v="0"/>
    <x v="19"/>
    <x v="15"/>
    <x v="4"/>
    <x v="29"/>
    <x v="13"/>
    <x v="171"/>
    <x v="3"/>
    <x v="4"/>
    <x v="1"/>
    <x v="5"/>
    <x v="2"/>
  </r>
  <r>
    <x v="1066"/>
    <x v="1"/>
    <x v="65"/>
    <x v="2"/>
    <x v="61"/>
    <x v="53"/>
    <x v="4"/>
    <x v="142"/>
    <x v="43"/>
    <x v="329"/>
    <x v="0"/>
    <x v="6"/>
    <x v="1"/>
    <x v="0"/>
    <x v="2"/>
  </r>
  <r>
    <x v="1067"/>
    <x v="73"/>
    <x v="145"/>
    <x v="7"/>
    <x v="67"/>
    <x v="60"/>
    <x v="4"/>
    <x v="29"/>
    <x v="21"/>
    <x v="181"/>
    <x v="0"/>
    <x v="4"/>
    <x v="1"/>
    <x v="1"/>
    <x v="0"/>
  </r>
  <r>
    <x v="1068"/>
    <x v="62"/>
    <x v="719"/>
    <x v="7"/>
    <x v="58"/>
    <x v="60"/>
    <x v="0"/>
    <x v="7"/>
    <x v="7"/>
    <x v="96"/>
    <x v="0"/>
    <x v="2"/>
    <x v="1"/>
    <x v="5"/>
    <x v="1"/>
  </r>
  <r>
    <x v="1069"/>
    <x v="38"/>
    <x v="720"/>
    <x v="1"/>
    <x v="37"/>
    <x v="18"/>
    <x v="4"/>
    <x v="133"/>
    <x v="24"/>
    <x v="63"/>
    <x v="0"/>
    <x v="4"/>
    <x v="1"/>
    <x v="10"/>
    <x v="0"/>
  </r>
  <r>
    <x v="1070"/>
    <x v="51"/>
    <x v="721"/>
    <x v="1"/>
    <x v="2"/>
    <x v="68"/>
    <x v="3"/>
    <x v="74"/>
    <x v="19"/>
    <x v="329"/>
    <x v="5"/>
    <x v="0"/>
    <x v="0"/>
    <x v="8"/>
    <x v="4"/>
  </r>
  <r>
    <x v="1071"/>
    <x v="5"/>
    <x v="722"/>
    <x v="0"/>
    <x v="19"/>
    <x v="15"/>
    <x v="5"/>
    <x v="28"/>
    <x v="43"/>
    <x v="230"/>
    <x v="1"/>
    <x v="5"/>
    <x v="1"/>
    <x v="3"/>
    <x v="4"/>
  </r>
  <r>
    <x v="1072"/>
    <x v="78"/>
    <x v="723"/>
    <x v="4"/>
    <x v="42"/>
    <x v="21"/>
    <x v="5"/>
    <x v="75"/>
    <x v="15"/>
    <x v="384"/>
    <x v="0"/>
    <x v="5"/>
    <x v="1"/>
    <x v="0"/>
    <x v="4"/>
  </r>
  <r>
    <x v="1073"/>
    <x v="48"/>
    <x v="724"/>
    <x v="1"/>
    <x v="49"/>
    <x v="37"/>
    <x v="5"/>
    <x v="35"/>
    <x v="36"/>
    <x v="385"/>
    <x v="3"/>
    <x v="5"/>
    <x v="1"/>
    <x v="7"/>
    <x v="2"/>
  </r>
  <r>
    <x v="1074"/>
    <x v="60"/>
    <x v="725"/>
    <x v="4"/>
    <x v="23"/>
    <x v="25"/>
    <x v="0"/>
    <x v="97"/>
    <x v="22"/>
    <x v="6"/>
    <x v="3"/>
    <x v="3"/>
    <x v="0"/>
    <x v="2"/>
    <x v="0"/>
  </r>
  <r>
    <x v="1075"/>
    <x v="7"/>
    <x v="726"/>
    <x v="5"/>
    <x v="56"/>
    <x v="61"/>
    <x v="1"/>
    <x v="154"/>
    <x v="42"/>
    <x v="386"/>
    <x v="0"/>
    <x v="6"/>
    <x v="1"/>
    <x v="5"/>
    <x v="3"/>
  </r>
  <r>
    <x v="1076"/>
    <x v="61"/>
    <x v="727"/>
    <x v="0"/>
    <x v="36"/>
    <x v="14"/>
    <x v="0"/>
    <x v="34"/>
    <x v="23"/>
    <x v="148"/>
    <x v="3"/>
    <x v="5"/>
    <x v="1"/>
    <x v="0"/>
    <x v="0"/>
  </r>
  <r>
    <x v="1077"/>
    <x v="32"/>
    <x v="450"/>
    <x v="0"/>
    <x v="65"/>
    <x v="14"/>
    <x v="1"/>
    <x v="174"/>
    <x v="62"/>
    <x v="387"/>
    <x v="4"/>
    <x v="1"/>
    <x v="1"/>
    <x v="5"/>
    <x v="4"/>
  </r>
  <r>
    <x v="1078"/>
    <x v="63"/>
    <x v="154"/>
    <x v="5"/>
    <x v="44"/>
    <x v="30"/>
    <x v="1"/>
    <x v="113"/>
    <x v="32"/>
    <x v="107"/>
    <x v="3"/>
    <x v="4"/>
    <x v="1"/>
    <x v="0"/>
    <x v="3"/>
  </r>
  <r>
    <x v="1079"/>
    <x v="72"/>
    <x v="617"/>
    <x v="1"/>
    <x v="1"/>
    <x v="51"/>
    <x v="3"/>
    <x v="94"/>
    <x v="23"/>
    <x v="8"/>
    <x v="0"/>
    <x v="5"/>
    <x v="1"/>
    <x v="2"/>
    <x v="4"/>
  </r>
  <r>
    <x v="1080"/>
    <x v="68"/>
    <x v="728"/>
    <x v="3"/>
    <x v="29"/>
    <x v="35"/>
    <x v="4"/>
    <x v="73"/>
    <x v="22"/>
    <x v="220"/>
    <x v="0"/>
    <x v="1"/>
    <x v="1"/>
    <x v="5"/>
    <x v="0"/>
  </r>
  <r>
    <x v="1081"/>
    <x v="27"/>
    <x v="51"/>
    <x v="2"/>
    <x v="55"/>
    <x v="69"/>
    <x v="3"/>
    <x v="144"/>
    <x v="52"/>
    <x v="388"/>
    <x v="3"/>
    <x v="5"/>
    <x v="1"/>
    <x v="3"/>
    <x v="4"/>
  </r>
  <r>
    <x v="1082"/>
    <x v="27"/>
    <x v="531"/>
    <x v="4"/>
    <x v="28"/>
    <x v="5"/>
    <x v="4"/>
    <x v="87"/>
    <x v="4"/>
    <x v="86"/>
    <x v="3"/>
    <x v="5"/>
    <x v="1"/>
    <x v="3"/>
    <x v="0"/>
  </r>
  <r>
    <x v="1083"/>
    <x v="7"/>
    <x v="729"/>
    <x v="0"/>
    <x v="51"/>
    <x v="49"/>
    <x v="1"/>
    <x v="17"/>
    <x v="38"/>
    <x v="345"/>
    <x v="0"/>
    <x v="1"/>
    <x v="1"/>
    <x v="5"/>
    <x v="4"/>
  </r>
  <r>
    <x v="1084"/>
    <x v="45"/>
    <x v="632"/>
    <x v="7"/>
    <x v="12"/>
    <x v="60"/>
    <x v="5"/>
    <x v="134"/>
    <x v="4"/>
    <x v="301"/>
    <x v="3"/>
    <x v="1"/>
    <x v="1"/>
    <x v="8"/>
    <x v="2"/>
  </r>
  <r>
    <x v="1085"/>
    <x v="17"/>
    <x v="730"/>
    <x v="7"/>
    <x v="63"/>
    <x v="60"/>
    <x v="4"/>
    <x v="36"/>
    <x v="5"/>
    <x v="133"/>
    <x v="0"/>
    <x v="1"/>
    <x v="1"/>
    <x v="5"/>
    <x v="3"/>
  </r>
  <r>
    <x v="1086"/>
    <x v="84"/>
    <x v="731"/>
    <x v="8"/>
    <x v="54"/>
    <x v="47"/>
    <x v="1"/>
    <x v="6"/>
    <x v="29"/>
    <x v="47"/>
    <x v="0"/>
    <x v="4"/>
    <x v="1"/>
    <x v="5"/>
    <x v="2"/>
  </r>
  <r>
    <x v="1087"/>
    <x v="37"/>
    <x v="626"/>
    <x v="0"/>
    <x v="13"/>
    <x v="42"/>
    <x v="1"/>
    <x v="2"/>
    <x v="2"/>
    <x v="345"/>
    <x v="0"/>
    <x v="0"/>
    <x v="0"/>
    <x v="5"/>
    <x v="0"/>
  </r>
  <r>
    <x v="1088"/>
    <x v="23"/>
    <x v="651"/>
    <x v="4"/>
    <x v="26"/>
    <x v="13"/>
    <x v="2"/>
    <x v="143"/>
    <x v="43"/>
    <x v="139"/>
    <x v="0"/>
    <x v="4"/>
    <x v="1"/>
    <x v="7"/>
    <x v="0"/>
  </r>
  <r>
    <x v="1089"/>
    <x v="15"/>
    <x v="477"/>
    <x v="0"/>
    <x v="13"/>
    <x v="15"/>
    <x v="5"/>
    <x v="97"/>
    <x v="32"/>
    <x v="20"/>
    <x v="1"/>
    <x v="5"/>
    <x v="1"/>
    <x v="3"/>
    <x v="2"/>
  </r>
  <r>
    <x v="1090"/>
    <x v="47"/>
    <x v="732"/>
    <x v="6"/>
    <x v="43"/>
    <x v="34"/>
    <x v="1"/>
    <x v="175"/>
    <x v="17"/>
    <x v="389"/>
    <x v="0"/>
    <x v="5"/>
    <x v="1"/>
    <x v="2"/>
    <x v="2"/>
  </r>
  <r>
    <x v="1091"/>
    <x v="69"/>
    <x v="281"/>
    <x v="0"/>
    <x v="51"/>
    <x v="42"/>
    <x v="4"/>
    <x v="83"/>
    <x v="5"/>
    <x v="258"/>
    <x v="3"/>
    <x v="6"/>
    <x v="1"/>
    <x v="4"/>
    <x v="2"/>
  </r>
  <r>
    <x v="1092"/>
    <x v="16"/>
    <x v="393"/>
    <x v="8"/>
    <x v="57"/>
    <x v="45"/>
    <x v="2"/>
    <x v="48"/>
    <x v="51"/>
    <x v="390"/>
    <x v="3"/>
    <x v="5"/>
    <x v="1"/>
    <x v="4"/>
    <x v="4"/>
  </r>
  <r>
    <x v="1093"/>
    <x v="72"/>
    <x v="85"/>
    <x v="0"/>
    <x v="51"/>
    <x v="22"/>
    <x v="1"/>
    <x v="153"/>
    <x v="35"/>
    <x v="39"/>
    <x v="0"/>
    <x v="6"/>
    <x v="1"/>
    <x v="3"/>
    <x v="3"/>
  </r>
  <r>
    <x v="1094"/>
    <x v="79"/>
    <x v="733"/>
    <x v="6"/>
    <x v="27"/>
    <x v="8"/>
    <x v="1"/>
    <x v="52"/>
    <x v="21"/>
    <x v="312"/>
    <x v="0"/>
    <x v="4"/>
    <x v="1"/>
    <x v="2"/>
    <x v="3"/>
  </r>
  <r>
    <x v="1095"/>
    <x v="41"/>
    <x v="734"/>
    <x v="1"/>
    <x v="37"/>
    <x v="68"/>
    <x v="1"/>
    <x v="84"/>
    <x v="2"/>
    <x v="300"/>
    <x v="4"/>
    <x v="5"/>
    <x v="1"/>
    <x v="3"/>
    <x v="2"/>
  </r>
  <r>
    <x v="1096"/>
    <x v="73"/>
    <x v="185"/>
    <x v="0"/>
    <x v="51"/>
    <x v="10"/>
    <x v="4"/>
    <x v="66"/>
    <x v="37"/>
    <x v="312"/>
    <x v="3"/>
    <x v="5"/>
    <x v="1"/>
    <x v="8"/>
    <x v="0"/>
  </r>
  <r>
    <x v="1097"/>
    <x v="57"/>
    <x v="735"/>
    <x v="4"/>
    <x v="5"/>
    <x v="25"/>
    <x v="1"/>
    <x v="51"/>
    <x v="8"/>
    <x v="347"/>
    <x v="3"/>
    <x v="7"/>
    <x v="0"/>
    <x v="7"/>
    <x v="1"/>
  </r>
  <r>
    <x v="1098"/>
    <x v="50"/>
    <x v="736"/>
    <x v="3"/>
    <x v="24"/>
    <x v="12"/>
    <x v="3"/>
    <x v="115"/>
    <x v="10"/>
    <x v="301"/>
    <x v="1"/>
    <x v="0"/>
    <x v="0"/>
    <x v="3"/>
    <x v="4"/>
  </r>
  <r>
    <x v="1099"/>
    <x v="88"/>
    <x v="737"/>
    <x v="6"/>
    <x v="35"/>
    <x v="8"/>
    <x v="3"/>
    <x v="25"/>
    <x v="16"/>
    <x v="372"/>
    <x v="1"/>
    <x v="2"/>
    <x v="1"/>
    <x v="0"/>
    <x v="4"/>
  </r>
  <r>
    <x v="1100"/>
    <x v="43"/>
    <x v="738"/>
    <x v="2"/>
    <x v="3"/>
    <x v="29"/>
    <x v="1"/>
    <x v="187"/>
    <x v="25"/>
    <x v="278"/>
    <x v="1"/>
    <x v="4"/>
    <x v="1"/>
    <x v="9"/>
    <x v="2"/>
  </r>
  <r>
    <x v="1101"/>
    <x v="5"/>
    <x v="739"/>
    <x v="6"/>
    <x v="7"/>
    <x v="8"/>
    <x v="0"/>
    <x v="34"/>
    <x v="10"/>
    <x v="39"/>
    <x v="0"/>
    <x v="6"/>
    <x v="1"/>
    <x v="0"/>
    <x v="3"/>
  </r>
  <r>
    <x v="1102"/>
    <x v="12"/>
    <x v="740"/>
    <x v="3"/>
    <x v="45"/>
    <x v="32"/>
    <x v="5"/>
    <x v="91"/>
    <x v="30"/>
    <x v="382"/>
    <x v="1"/>
    <x v="5"/>
    <x v="1"/>
    <x v="7"/>
    <x v="0"/>
  </r>
  <r>
    <x v="1103"/>
    <x v="70"/>
    <x v="608"/>
    <x v="4"/>
    <x v="42"/>
    <x v="25"/>
    <x v="5"/>
    <x v="14"/>
    <x v="6"/>
    <x v="85"/>
    <x v="0"/>
    <x v="0"/>
    <x v="0"/>
    <x v="1"/>
    <x v="2"/>
  </r>
  <r>
    <x v="1104"/>
    <x v="28"/>
    <x v="388"/>
    <x v="5"/>
    <x v="71"/>
    <x v="30"/>
    <x v="4"/>
    <x v="16"/>
    <x v="36"/>
    <x v="6"/>
    <x v="5"/>
    <x v="1"/>
    <x v="1"/>
    <x v="3"/>
    <x v="2"/>
  </r>
  <r>
    <x v="1105"/>
    <x v="29"/>
    <x v="554"/>
    <x v="1"/>
    <x v="49"/>
    <x v="18"/>
    <x v="1"/>
    <x v="153"/>
    <x v="12"/>
    <x v="29"/>
    <x v="0"/>
    <x v="2"/>
    <x v="1"/>
    <x v="2"/>
    <x v="5"/>
  </r>
  <r>
    <x v="1106"/>
    <x v="88"/>
    <x v="257"/>
    <x v="3"/>
    <x v="25"/>
    <x v="12"/>
    <x v="0"/>
    <x v="73"/>
    <x v="5"/>
    <x v="65"/>
    <x v="0"/>
    <x v="2"/>
    <x v="1"/>
    <x v="5"/>
    <x v="0"/>
  </r>
  <r>
    <x v="1107"/>
    <x v="0"/>
    <x v="34"/>
    <x v="2"/>
    <x v="61"/>
    <x v="31"/>
    <x v="4"/>
    <x v="159"/>
    <x v="4"/>
    <x v="181"/>
    <x v="1"/>
    <x v="5"/>
    <x v="1"/>
    <x v="0"/>
    <x v="6"/>
  </r>
  <r>
    <x v="1108"/>
    <x v="30"/>
    <x v="694"/>
    <x v="8"/>
    <x v="38"/>
    <x v="39"/>
    <x v="4"/>
    <x v="188"/>
    <x v="14"/>
    <x v="366"/>
    <x v="3"/>
    <x v="5"/>
    <x v="1"/>
    <x v="2"/>
    <x v="2"/>
  </r>
  <r>
    <x v="1109"/>
    <x v="66"/>
    <x v="468"/>
    <x v="3"/>
    <x v="25"/>
    <x v="23"/>
    <x v="0"/>
    <x v="102"/>
    <x v="29"/>
    <x v="76"/>
    <x v="1"/>
    <x v="6"/>
    <x v="1"/>
    <x v="8"/>
    <x v="2"/>
  </r>
  <r>
    <x v="1110"/>
    <x v="41"/>
    <x v="741"/>
    <x v="7"/>
    <x v="50"/>
    <x v="50"/>
    <x v="3"/>
    <x v="26"/>
    <x v="22"/>
    <x v="294"/>
    <x v="1"/>
    <x v="7"/>
    <x v="0"/>
    <x v="9"/>
    <x v="5"/>
  </r>
  <r>
    <x v="1111"/>
    <x v="55"/>
    <x v="742"/>
    <x v="2"/>
    <x v="31"/>
    <x v="69"/>
    <x v="3"/>
    <x v="143"/>
    <x v="25"/>
    <x v="335"/>
    <x v="0"/>
    <x v="4"/>
    <x v="1"/>
    <x v="7"/>
    <x v="4"/>
  </r>
  <r>
    <x v="1112"/>
    <x v="68"/>
    <x v="743"/>
    <x v="1"/>
    <x v="2"/>
    <x v="68"/>
    <x v="4"/>
    <x v="97"/>
    <x v="0"/>
    <x v="391"/>
    <x v="3"/>
    <x v="4"/>
    <x v="1"/>
    <x v="7"/>
    <x v="4"/>
  </r>
  <r>
    <x v="1113"/>
    <x v="33"/>
    <x v="744"/>
    <x v="8"/>
    <x v="22"/>
    <x v="19"/>
    <x v="1"/>
    <x v="126"/>
    <x v="30"/>
    <x v="250"/>
    <x v="3"/>
    <x v="6"/>
    <x v="1"/>
    <x v="3"/>
    <x v="4"/>
  </r>
  <r>
    <x v="1114"/>
    <x v="56"/>
    <x v="736"/>
    <x v="1"/>
    <x v="59"/>
    <x v="51"/>
    <x v="1"/>
    <x v="51"/>
    <x v="14"/>
    <x v="80"/>
    <x v="4"/>
    <x v="0"/>
    <x v="0"/>
    <x v="2"/>
    <x v="4"/>
  </r>
  <r>
    <x v="1115"/>
    <x v="0"/>
    <x v="650"/>
    <x v="8"/>
    <x v="52"/>
    <x v="44"/>
    <x v="1"/>
    <x v="77"/>
    <x v="8"/>
    <x v="23"/>
    <x v="3"/>
    <x v="5"/>
    <x v="1"/>
    <x v="1"/>
    <x v="1"/>
  </r>
  <r>
    <x v="1116"/>
    <x v="56"/>
    <x v="136"/>
    <x v="1"/>
    <x v="46"/>
    <x v="2"/>
    <x v="1"/>
    <x v="130"/>
    <x v="19"/>
    <x v="22"/>
    <x v="0"/>
    <x v="5"/>
    <x v="1"/>
    <x v="3"/>
    <x v="3"/>
  </r>
  <r>
    <x v="1117"/>
    <x v="88"/>
    <x v="477"/>
    <x v="0"/>
    <x v="13"/>
    <x v="0"/>
    <x v="1"/>
    <x v="5"/>
    <x v="4"/>
    <x v="223"/>
    <x v="3"/>
    <x v="5"/>
    <x v="1"/>
    <x v="2"/>
    <x v="4"/>
  </r>
  <r>
    <x v="1118"/>
    <x v="50"/>
    <x v="396"/>
    <x v="1"/>
    <x v="33"/>
    <x v="46"/>
    <x v="0"/>
    <x v="29"/>
    <x v="6"/>
    <x v="60"/>
    <x v="1"/>
    <x v="6"/>
    <x v="1"/>
    <x v="0"/>
    <x v="2"/>
  </r>
  <r>
    <x v="1119"/>
    <x v="15"/>
    <x v="288"/>
    <x v="4"/>
    <x v="28"/>
    <x v="38"/>
    <x v="1"/>
    <x v="182"/>
    <x v="11"/>
    <x v="116"/>
    <x v="3"/>
    <x v="6"/>
    <x v="1"/>
    <x v="0"/>
    <x v="2"/>
  </r>
  <r>
    <x v="1120"/>
    <x v="64"/>
    <x v="551"/>
    <x v="3"/>
    <x v="14"/>
    <x v="28"/>
    <x v="4"/>
    <x v="29"/>
    <x v="4"/>
    <x v="227"/>
    <x v="1"/>
    <x v="4"/>
    <x v="1"/>
    <x v="5"/>
    <x v="4"/>
  </r>
  <r>
    <x v="1121"/>
    <x v="37"/>
    <x v="745"/>
    <x v="6"/>
    <x v="35"/>
    <x v="56"/>
    <x v="4"/>
    <x v="111"/>
    <x v="22"/>
    <x v="209"/>
    <x v="3"/>
    <x v="6"/>
    <x v="1"/>
    <x v="8"/>
    <x v="7"/>
  </r>
  <r>
    <x v="1122"/>
    <x v="14"/>
    <x v="746"/>
    <x v="4"/>
    <x v="15"/>
    <x v="70"/>
    <x v="3"/>
    <x v="8"/>
    <x v="7"/>
    <x v="327"/>
    <x v="0"/>
    <x v="3"/>
    <x v="0"/>
    <x v="0"/>
    <x v="7"/>
  </r>
  <r>
    <x v="1123"/>
    <x v="69"/>
    <x v="319"/>
    <x v="1"/>
    <x v="49"/>
    <x v="46"/>
    <x v="0"/>
    <x v="87"/>
    <x v="7"/>
    <x v="36"/>
    <x v="0"/>
    <x v="6"/>
    <x v="1"/>
    <x v="3"/>
    <x v="2"/>
  </r>
  <r>
    <x v="1124"/>
    <x v="66"/>
    <x v="228"/>
    <x v="7"/>
    <x v="39"/>
    <x v="24"/>
    <x v="1"/>
    <x v="8"/>
    <x v="43"/>
    <x v="136"/>
    <x v="4"/>
    <x v="1"/>
    <x v="1"/>
    <x v="8"/>
    <x v="3"/>
  </r>
  <r>
    <x v="1125"/>
    <x v="69"/>
    <x v="154"/>
    <x v="4"/>
    <x v="15"/>
    <x v="38"/>
    <x v="2"/>
    <x v="33"/>
    <x v="0"/>
    <x v="300"/>
    <x v="0"/>
    <x v="4"/>
    <x v="1"/>
    <x v="5"/>
    <x v="5"/>
  </r>
  <r>
    <x v="1126"/>
    <x v="37"/>
    <x v="8"/>
    <x v="3"/>
    <x v="25"/>
    <x v="4"/>
    <x v="4"/>
    <x v="47"/>
    <x v="0"/>
    <x v="153"/>
    <x v="3"/>
    <x v="5"/>
    <x v="1"/>
    <x v="5"/>
    <x v="6"/>
  </r>
  <r>
    <x v="1127"/>
    <x v="36"/>
    <x v="747"/>
    <x v="0"/>
    <x v="47"/>
    <x v="10"/>
    <x v="2"/>
    <x v="91"/>
    <x v="36"/>
    <x v="8"/>
    <x v="1"/>
    <x v="2"/>
    <x v="1"/>
    <x v="1"/>
    <x v="5"/>
  </r>
  <r>
    <x v="1128"/>
    <x v="39"/>
    <x v="14"/>
    <x v="8"/>
    <x v="64"/>
    <x v="36"/>
    <x v="4"/>
    <x v="107"/>
    <x v="13"/>
    <x v="392"/>
    <x v="0"/>
    <x v="5"/>
    <x v="1"/>
    <x v="5"/>
    <x v="2"/>
  </r>
  <r>
    <x v="1129"/>
    <x v="34"/>
    <x v="139"/>
    <x v="6"/>
    <x v="43"/>
    <x v="65"/>
    <x v="4"/>
    <x v="50"/>
    <x v="5"/>
    <x v="219"/>
    <x v="1"/>
    <x v="6"/>
    <x v="1"/>
    <x v="3"/>
    <x v="2"/>
  </r>
  <r>
    <x v="1130"/>
    <x v="12"/>
    <x v="748"/>
    <x v="4"/>
    <x v="42"/>
    <x v="38"/>
    <x v="1"/>
    <x v="29"/>
    <x v="6"/>
    <x v="114"/>
    <x v="1"/>
    <x v="6"/>
    <x v="1"/>
    <x v="3"/>
    <x v="0"/>
  </r>
  <r>
    <x v="1131"/>
    <x v="36"/>
    <x v="645"/>
    <x v="4"/>
    <x v="20"/>
    <x v="70"/>
    <x v="1"/>
    <x v="0"/>
    <x v="7"/>
    <x v="270"/>
    <x v="0"/>
    <x v="4"/>
    <x v="1"/>
    <x v="9"/>
    <x v="0"/>
  </r>
  <r>
    <x v="1132"/>
    <x v="27"/>
    <x v="604"/>
    <x v="1"/>
    <x v="21"/>
    <x v="51"/>
    <x v="4"/>
    <x v="87"/>
    <x v="7"/>
    <x v="256"/>
    <x v="3"/>
    <x v="3"/>
    <x v="0"/>
    <x v="7"/>
    <x v="5"/>
  </r>
  <r>
    <x v="1133"/>
    <x v="4"/>
    <x v="253"/>
    <x v="3"/>
    <x v="14"/>
    <x v="35"/>
    <x v="4"/>
    <x v="4"/>
    <x v="19"/>
    <x v="393"/>
    <x v="0"/>
    <x v="4"/>
    <x v="1"/>
    <x v="3"/>
    <x v="4"/>
  </r>
  <r>
    <x v="1134"/>
    <x v="18"/>
    <x v="749"/>
    <x v="0"/>
    <x v="47"/>
    <x v="10"/>
    <x v="1"/>
    <x v="186"/>
    <x v="62"/>
    <x v="130"/>
    <x v="3"/>
    <x v="1"/>
    <x v="1"/>
    <x v="5"/>
    <x v="6"/>
  </r>
  <r>
    <x v="1135"/>
    <x v="10"/>
    <x v="136"/>
    <x v="2"/>
    <x v="66"/>
    <x v="29"/>
    <x v="0"/>
    <x v="94"/>
    <x v="23"/>
    <x v="98"/>
    <x v="3"/>
    <x v="5"/>
    <x v="1"/>
    <x v="7"/>
    <x v="0"/>
  </r>
  <r>
    <x v="1136"/>
    <x v="15"/>
    <x v="437"/>
    <x v="5"/>
    <x v="44"/>
    <x v="66"/>
    <x v="1"/>
    <x v="32"/>
    <x v="15"/>
    <x v="112"/>
    <x v="2"/>
    <x v="4"/>
    <x v="1"/>
    <x v="1"/>
    <x v="3"/>
  </r>
  <r>
    <x v="1137"/>
    <x v="44"/>
    <x v="750"/>
    <x v="2"/>
    <x v="70"/>
    <x v="3"/>
    <x v="1"/>
    <x v="83"/>
    <x v="37"/>
    <x v="31"/>
    <x v="4"/>
    <x v="4"/>
    <x v="1"/>
    <x v="4"/>
    <x v="2"/>
  </r>
  <r>
    <x v="1138"/>
    <x v="60"/>
    <x v="147"/>
    <x v="1"/>
    <x v="33"/>
    <x v="18"/>
    <x v="0"/>
    <x v="132"/>
    <x v="35"/>
    <x v="394"/>
    <x v="1"/>
    <x v="4"/>
    <x v="1"/>
    <x v="1"/>
    <x v="3"/>
  </r>
  <r>
    <x v="1139"/>
    <x v="19"/>
    <x v="399"/>
    <x v="1"/>
    <x v="49"/>
    <x v="46"/>
    <x v="2"/>
    <x v="10"/>
    <x v="13"/>
    <x v="395"/>
    <x v="3"/>
    <x v="5"/>
    <x v="1"/>
    <x v="1"/>
    <x v="0"/>
  </r>
  <r>
    <x v="1140"/>
    <x v="73"/>
    <x v="751"/>
    <x v="1"/>
    <x v="49"/>
    <x v="37"/>
    <x v="4"/>
    <x v="52"/>
    <x v="22"/>
    <x v="295"/>
    <x v="2"/>
    <x v="4"/>
    <x v="1"/>
    <x v="8"/>
    <x v="3"/>
  </r>
  <r>
    <x v="1141"/>
    <x v="43"/>
    <x v="389"/>
    <x v="5"/>
    <x v="32"/>
    <x v="6"/>
    <x v="1"/>
    <x v="77"/>
    <x v="29"/>
    <x v="285"/>
    <x v="1"/>
    <x v="5"/>
    <x v="1"/>
    <x v="3"/>
    <x v="2"/>
  </r>
  <r>
    <x v="1142"/>
    <x v="26"/>
    <x v="752"/>
    <x v="0"/>
    <x v="19"/>
    <x v="10"/>
    <x v="3"/>
    <x v="110"/>
    <x v="12"/>
    <x v="396"/>
    <x v="3"/>
    <x v="5"/>
    <x v="1"/>
    <x v="8"/>
    <x v="0"/>
  </r>
  <r>
    <x v="1143"/>
    <x v="54"/>
    <x v="310"/>
    <x v="4"/>
    <x v="20"/>
    <x v="17"/>
    <x v="4"/>
    <x v="62"/>
    <x v="0"/>
    <x v="15"/>
    <x v="3"/>
    <x v="5"/>
    <x v="1"/>
    <x v="0"/>
    <x v="5"/>
  </r>
  <r>
    <x v="1144"/>
    <x v="78"/>
    <x v="16"/>
    <x v="5"/>
    <x v="71"/>
    <x v="43"/>
    <x v="4"/>
    <x v="65"/>
    <x v="5"/>
    <x v="260"/>
    <x v="3"/>
    <x v="5"/>
    <x v="1"/>
    <x v="3"/>
    <x v="2"/>
  </r>
  <r>
    <x v="1145"/>
    <x v="83"/>
    <x v="753"/>
    <x v="5"/>
    <x v="44"/>
    <x v="43"/>
    <x v="1"/>
    <x v="123"/>
    <x v="26"/>
    <x v="70"/>
    <x v="3"/>
    <x v="3"/>
    <x v="0"/>
    <x v="2"/>
    <x v="2"/>
  </r>
  <r>
    <x v="1146"/>
    <x v="30"/>
    <x v="754"/>
    <x v="1"/>
    <x v="46"/>
    <x v="2"/>
    <x v="4"/>
    <x v="101"/>
    <x v="6"/>
    <x v="145"/>
    <x v="0"/>
    <x v="6"/>
    <x v="1"/>
    <x v="0"/>
    <x v="0"/>
  </r>
  <r>
    <x v="1147"/>
    <x v="39"/>
    <x v="755"/>
    <x v="3"/>
    <x v="29"/>
    <x v="4"/>
    <x v="5"/>
    <x v="18"/>
    <x v="23"/>
    <x v="130"/>
    <x v="1"/>
    <x v="4"/>
    <x v="1"/>
    <x v="5"/>
    <x v="4"/>
  </r>
  <r>
    <x v="1148"/>
    <x v="77"/>
    <x v="113"/>
    <x v="8"/>
    <x v="57"/>
    <x v="19"/>
    <x v="4"/>
    <x v="28"/>
    <x v="7"/>
    <x v="146"/>
    <x v="2"/>
    <x v="5"/>
    <x v="1"/>
    <x v="2"/>
    <x v="6"/>
  </r>
  <r>
    <x v="1149"/>
    <x v="87"/>
    <x v="98"/>
    <x v="1"/>
    <x v="33"/>
    <x v="27"/>
    <x v="1"/>
    <x v="52"/>
    <x v="4"/>
    <x v="102"/>
    <x v="2"/>
    <x v="5"/>
    <x v="1"/>
    <x v="3"/>
    <x v="0"/>
  </r>
  <r>
    <x v="1150"/>
    <x v="75"/>
    <x v="756"/>
    <x v="1"/>
    <x v="59"/>
    <x v="18"/>
    <x v="1"/>
    <x v="16"/>
    <x v="17"/>
    <x v="39"/>
    <x v="1"/>
    <x v="6"/>
    <x v="1"/>
    <x v="5"/>
    <x v="5"/>
  </r>
  <r>
    <x v="1151"/>
    <x v="1"/>
    <x v="757"/>
    <x v="1"/>
    <x v="37"/>
    <x v="51"/>
    <x v="1"/>
    <x v="119"/>
    <x v="4"/>
    <x v="46"/>
    <x v="1"/>
    <x v="1"/>
    <x v="1"/>
    <x v="0"/>
    <x v="0"/>
  </r>
  <r>
    <x v="1152"/>
    <x v="23"/>
    <x v="705"/>
    <x v="0"/>
    <x v="47"/>
    <x v="49"/>
    <x v="3"/>
    <x v="54"/>
    <x v="10"/>
    <x v="212"/>
    <x v="3"/>
    <x v="6"/>
    <x v="1"/>
    <x v="7"/>
    <x v="5"/>
  </r>
  <r>
    <x v="1153"/>
    <x v="57"/>
    <x v="89"/>
    <x v="2"/>
    <x v="8"/>
    <x v="53"/>
    <x v="1"/>
    <x v="33"/>
    <x v="4"/>
    <x v="294"/>
    <x v="1"/>
    <x v="1"/>
    <x v="1"/>
    <x v="3"/>
    <x v="4"/>
  </r>
  <r>
    <x v="1154"/>
    <x v="89"/>
    <x v="429"/>
    <x v="3"/>
    <x v="24"/>
    <x v="23"/>
    <x v="1"/>
    <x v="119"/>
    <x v="4"/>
    <x v="208"/>
    <x v="3"/>
    <x v="6"/>
    <x v="1"/>
    <x v="0"/>
    <x v="3"/>
  </r>
  <r>
    <x v="1155"/>
    <x v="0"/>
    <x v="493"/>
    <x v="8"/>
    <x v="22"/>
    <x v="57"/>
    <x v="4"/>
    <x v="113"/>
    <x v="36"/>
    <x v="171"/>
    <x v="3"/>
    <x v="5"/>
    <x v="1"/>
    <x v="5"/>
    <x v="6"/>
  </r>
  <r>
    <x v="1156"/>
    <x v="59"/>
    <x v="756"/>
    <x v="8"/>
    <x v="57"/>
    <x v="45"/>
    <x v="0"/>
    <x v="115"/>
    <x v="14"/>
    <x v="104"/>
    <x v="0"/>
    <x v="6"/>
    <x v="1"/>
    <x v="3"/>
    <x v="6"/>
  </r>
  <r>
    <x v="1157"/>
    <x v="53"/>
    <x v="650"/>
    <x v="2"/>
    <x v="55"/>
    <x v="69"/>
    <x v="1"/>
    <x v="12"/>
    <x v="6"/>
    <x v="193"/>
    <x v="0"/>
    <x v="5"/>
    <x v="1"/>
    <x v="5"/>
    <x v="6"/>
  </r>
  <r>
    <x v="1158"/>
    <x v="24"/>
    <x v="11"/>
    <x v="8"/>
    <x v="22"/>
    <x v="39"/>
    <x v="0"/>
    <x v="77"/>
    <x v="29"/>
    <x v="397"/>
    <x v="0"/>
    <x v="5"/>
    <x v="1"/>
    <x v="7"/>
    <x v="2"/>
  </r>
  <r>
    <x v="1159"/>
    <x v="86"/>
    <x v="758"/>
    <x v="5"/>
    <x v="44"/>
    <x v="16"/>
    <x v="1"/>
    <x v="28"/>
    <x v="21"/>
    <x v="61"/>
    <x v="3"/>
    <x v="6"/>
    <x v="1"/>
    <x v="2"/>
    <x v="2"/>
  </r>
  <r>
    <x v="1160"/>
    <x v="46"/>
    <x v="469"/>
    <x v="6"/>
    <x v="35"/>
    <x v="64"/>
    <x v="1"/>
    <x v="74"/>
    <x v="22"/>
    <x v="180"/>
    <x v="0"/>
    <x v="2"/>
    <x v="1"/>
    <x v="7"/>
    <x v="2"/>
  </r>
  <r>
    <x v="1161"/>
    <x v="43"/>
    <x v="630"/>
    <x v="3"/>
    <x v="4"/>
    <x v="4"/>
    <x v="1"/>
    <x v="34"/>
    <x v="29"/>
    <x v="267"/>
    <x v="0"/>
    <x v="4"/>
    <x v="1"/>
    <x v="1"/>
    <x v="1"/>
  </r>
  <r>
    <x v="1162"/>
    <x v="26"/>
    <x v="498"/>
    <x v="2"/>
    <x v="55"/>
    <x v="53"/>
    <x v="2"/>
    <x v="54"/>
    <x v="12"/>
    <x v="344"/>
    <x v="1"/>
    <x v="5"/>
    <x v="1"/>
    <x v="5"/>
    <x v="3"/>
  </r>
  <r>
    <x v="1163"/>
    <x v="74"/>
    <x v="759"/>
    <x v="4"/>
    <x v="28"/>
    <x v="26"/>
    <x v="4"/>
    <x v="4"/>
    <x v="24"/>
    <x v="73"/>
    <x v="0"/>
    <x v="1"/>
    <x v="1"/>
    <x v="5"/>
    <x v="2"/>
  </r>
  <r>
    <x v="1164"/>
    <x v="52"/>
    <x v="104"/>
    <x v="0"/>
    <x v="11"/>
    <x v="10"/>
    <x v="5"/>
    <x v="152"/>
    <x v="53"/>
    <x v="398"/>
    <x v="0"/>
    <x v="4"/>
    <x v="1"/>
    <x v="1"/>
    <x v="2"/>
  </r>
  <r>
    <x v="1165"/>
    <x v="45"/>
    <x v="552"/>
    <x v="5"/>
    <x v="32"/>
    <x v="63"/>
    <x v="0"/>
    <x v="189"/>
    <x v="59"/>
    <x v="333"/>
    <x v="5"/>
    <x v="6"/>
    <x v="1"/>
    <x v="0"/>
    <x v="2"/>
  </r>
  <r>
    <x v="1166"/>
    <x v="33"/>
    <x v="390"/>
    <x v="2"/>
    <x v="30"/>
    <x v="67"/>
    <x v="5"/>
    <x v="81"/>
    <x v="5"/>
    <x v="346"/>
    <x v="3"/>
    <x v="2"/>
    <x v="1"/>
    <x v="7"/>
    <x v="5"/>
  </r>
  <r>
    <x v="1167"/>
    <x v="63"/>
    <x v="374"/>
    <x v="4"/>
    <x v="23"/>
    <x v="17"/>
    <x v="1"/>
    <x v="34"/>
    <x v="0"/>
    <x v="6"/>
    <x v="0"/>
    <x v="6"/>
    <x v="1"/>
    <x v="8"/>
    <x v="0"/>
  </r>
  <r>
    <x v="1168"/>
    <x v="74"/>
    <x v="760"/>
    <x v="4"/>
    <x v="15"/>
    <x v="38"/>
    <x v="5"/>
    <x v="57"/>
    <x v="36"/>
    <x v="399"/>
    <x v="5"/>
    <x v="5"/>
    <x v="1"/>
    <x v="1"/>
    <x v="6"/>
  </r>
  <r>
    <x v="1169"/>
    <x v="63"/>
    <x v="761"/>
    <x v="1"/>
    <x v="49"/>
    <x v="27"/>
    <x v="1"/>
    <x v="91"/>
    <x v="43"/>
    <x v="96"/>
    <x v="3"/>
    <x v="1"/>
    <x v="1"/>
    <x v="7"/>
    <x v="0"/>
  </r>
  <r>
    <x v="1170"/>
    <x v="65"/>
    <x v="243"/>
    <x v="7"/>
    <x v="69"/>
    <x v="50"/>
    <x v="0"/>
    <x v="78"/>
    <x v="30"/>
    <x v="216"/>
    <x v="0"/>
    <x v="4"/>
    <x v="1"/>
    <x v="0"/>
    <x v="0"/>
  </r>
  <r>
    <x v="1171"/>
    <x v="27"/>
    <x v="16"/>
    <x v="3"/>
    <x v="10"/>
    <x v="12"/>
    <x v="0"/>
    <x v="60"/>
    <x v="6"/>
    <x v="251"/>
    <x v="1"/>
    <x v="5"/>
    <x v="1"/>
    <x v="7"/>
    <x v="4"/>
  </r>
  <r>
    <x v="1172"/>
    <x v="12"/>
    <x v="40"/>
    <x v="8"/>
    <x v="54"/>
    <x v="47"/>
    <x v="1"/>
    <x v="103"/>
    <x v="4"/>
    <x v="295"/>
    <x v="0"/>
    <x v="6"/>
    <x v="1"/>
    <x v="10"/>
    <x v="6"/>
  </r>
  <r>
    <x v="1173"/>
    <x v="57"/>
    <x v="156"/>
    <x v="6"/>
    <x v="27"/>
    <x v="56"/>
    <x v="4"/>
    <x v="134"/>
    <x v="0"/>
    <x v="124"/>
    <x v="1"/>
    <x v="2"/>
    <x v="1"/>
    <x v="7"/>
    <x v="6"/>
  </r>
  <r>
    <x v="1174"/>
    <x v="27"/>
    <x v="762"/>
    <x v="5"/>
    <x v="6"/>
    <x v="63"/>
    <x v="1"/>
    <x v="127"/>
    <x v="30"/>
    <x v="210"/>
    <x v="1"/>
    <x v="0"/>
    <x v="0"/>
    <x v="10"/>
    <x v="6"/>
  </r>
  <r>
    <x v="1175"/>
    <x v="4"/>
    <x v="236"/>
    <x v="4"/>
    <x v="23"/>
    <x v="5"/>
    <x v="1"/>
    <x v="112"/>
    <x v="44"/>
    <x v="40"/>
    <x v="2"/>
    <x v="6"/>
    <x v="1"/>
    <x v="7"/>
    <x v="5"/>
  </r>
  <r>
    <x v="1176"/>
    <x v="82"/>
    <x v="97"/>
    <x v="5"/>
    <x v="71"/>
    <x v="43"/>
    <x v="1"/>
    <x v="64"/>
    <x v="37"/>
    <x v="124"/>
    <x v="3"/>
    <x v="6"/>
    <x v="1"/>
    <x v="3"/>
    <x v="5"/>
  </r>
  <r>
    <x v="1177"/>
    <x v="47"/>
    <x v="384"/>
    <x v="6"/>
    <x v="9"/>
    <x v="56"/>
    <x v="1"/>
    <x v="6"/>
    <x v="5"/>
    <x v="250"/>
    <x v="0"/>
    <x v="1"/>
    <x v="1"/>
    <x v="0"/>
    <x v="3"/>
  </r>
  <r>
    <x v="1178"/>
    <x v="63"/>
    <x v="624"/>
    <x v="2"/>
    <x v="31"/>
    <x v="58"/>
    <x v="1"/>
    <x v="7"/>
    <x v="0"/>
    <x v="56"/>
    <x v="1"/>
    <x v="6"/>
    <x v="1"/>
    <x v="4"/>
    <x v="4"/>
  </r>
  <r>
    <x v="1179"/>
    <x v="17"/>
    <x v="685"/>
    <x v="1"/>
    <x v="46"/>
    <x v="27"/>
    <x v="1"/>
    <x v="36"/>
    <x v="13"/>
    <x v="179"/>
    <x v="1"/>
    <x v="4"/>
    <x v="1"/>
    <x v="7"/>
    <x v="3"/>
  </r>
  <r>
    <x v="1180"/>
    <x v="0"/>
    <x v="556"/>
    <x v="1"/>
    <x v="21"/>
    <x v="51"/>
    <x v="4"/>
    <x v="47"/>
    <x v="23"/>
    <x v="209"/>
    <x v="3"/>
    <x v="4"/>
    <x v="1"/>
    <x v="3"/>
    <x v="3"/>
  </r>
  <r>
    <x v="1181"/>
    <x v="60"/>
    <x v="579"/>
    <x v="3"/>
    <x v="45"/>
    <x v="4"/>
    <x v="1"/>
    <x v="159"/>
    <x v="24"/>
    <x v="105"/>
    <x v="2"/>
    <x v="1"/>
    <x v="1"/>
    <x v="7"/>
    <x v="3"/>
  </r>
  <r>
    <x v="1182"/>
    <x v="81"/>
    <x v="763"/>
    <x v="2"/>
    <x v="31"/>
    <x v="53"/>
    <x v="3"/>
    <x v="167"/>
    <x v="1"/>
    <x v="205"/>
    <x v="1"/>
    <x v="0"/>
    <x v="0"/>
    <x v="5"/>
    <x v="3"/>
  </r>
  <r>
    <x v="1183"/>
    <x v="2"/>
    <x v="764"/>
    <x v="1"/>
    <x v="37"/>
    <x v="27"/>
    <x v="4"/>
    <x v="14"/>
    <x v="22"/>
    <x v="258"/>
    <x v="0"/>
    <x v="2"/>
    <x v="1"/>
    <x v="5"/>
    <x v="4"/>
  </r>
  <r>
    <x v="1184"/>
    <x v="21"/>
    <x v="283"/>
    <x v="4"/>
    <x v="5"/>
    <x v="13"/>
    <x v="1"/>
    <x v="130"/>
    <x v="0"/>
    <x v="204"/>
    <x v="3"/>
    <x v="6"/>
    <x v="1"/>
    <x v="7"/>
    <x v="0"/>
  </r>
  <r>
    <x v="1185"/>
    <x v="15"/>
    <x v="765"/>
    <x v="2"/>
    <x v="55"/>
    <x v="67"/>
    <x v="4"/>
    <x v="52"/>
    <x v="4"/>
    <x v="369"/>
    <x v="0"/>
    <x v="5"/>
    <x v="1"/>
    <x v="5"/>
    <x v="2"/>
  </r>
  <r>
    <x v="1186"/>
    <x v="34"/>
    <x v="766"/>
    <x v="6"/>
    <x v="9"/>
    <x v="56"/>
    <x v="2"/>
    <x v="21"/>
    <x v="32"/>
    <x v="177"/>
    <x v="0"/>
    <x v="5"/>
    <x v="1"/>
    <x v="2"/>
    <x v="0"/>
  </r>
  <r>
    <x v="1187"/>
    <x v="6"/>
    <x v="430"/>
    <x v="1"/>
    <x v="21"/>
    <x v="46"/>
    <x v="4"/>
    <x v="63"/>
    <x v="19"/>
    <x v="227"/>
    <x v="0"/>
    <x v="4"/>
    <x v="1"/>
    <x v="7"/>
    <x v="0"/>
  </r>
  <r>
    <x v="1188"/>
    <x v="19"/>
    <x v="549"/>
    <x v="6"/>
    <x v="18"/>
    <x v="65"/>
    <x v="0"/>
    <x v="186"/>
    <x v="15"/>
    <x v="183"/>
    <x v="0"/>
    <x v="5"/>
    <x v="1"/>
    <x v="2"/>
    <x v="2"/>
  </r>
  <r>
    <x v="1189"/>
    <x v="83"/>
    <x v="89"/>
    <x v="3"/>
    <x v="14"/>
    <x v="52"/>
    <x v="3"/>
    <x v="113"/>
    <x v="43"/>
    <x v="81"/>
    <x v="3"/>
    <x v="1"/>
    <x v="1"/>
    <x v="2"/>
    <x v="6"/>
  </r>
  <r>
    <x v="1190"/>
    <x v="41"/>
    <x v="545"/>
    <x v="1"/>
    <x v="37"/>
    <x v="51"/>
    <x v="1"/>
    <x v="68"/>
    <x v="10"/>
    <x v="155"/>
    <x v="0"/>
    <x v="1"/>
    <x v="1"/>
    <x v="2"/>
    <x v="5"/>
  </r>
  <r>
    <x v="1191"/>
    <x v="9"/>
    <x v="87"/>
    <x v="1"/>
    <x v="46"/>
    <x v="37"/>
    <x v="0"/>
    <x v="190"/>
    <x v="64"/>
    <x v="400"/>
    <x v="3"/>
    <x v="5"/>
    <x v="1"/>
    <x v="3"/>
    <x v="5"/>
  </r>
  <r>
    <x v="1192"/>
    <x v="40"/>
    <x v="767"/>
    <x v="2"/>
    <x v="8"/>
    <x v="59"/>
    <x v="0"/>
    <x v="191"/>
    <x v="41"/>
    <x v="380"/>
    <x v="1"/>
    <x v="1"/>
    <x v="1"/>
    <x v="7"/>
    <x v="2"/>
  </r>
  <r>
    <x v="1193"/>
    <x v="57"/>
    <x v="625"/>
    <x v="1"/>
    <x v="33"/>
    <x v="27"/>
    <x v="2"/>
    <x v="44"/>
    <x v="26"/>
    <x v="360"/>
    <x v="4"/>
    <x v="4"/>
    <x v="1"/>
    <x v="5"/>
    <x v="6"/>
  </r>
  <r>
    <x v="1194"/>
    <x v="74"/>
    <x v="232"/>
    <x v="6"/>
    <x v="9"/>
    <x v="64"/>
    <x v="4"/>
    <x v="19"/>
    <x v="38"/>
    <x v="6"/>
    <x v="0"/>
    <x v="0"/>
    <x v="0"/>
    <x v="7"/>
    <x v="6"/>
  </r>
  <r>
    <x v="1195"/>
    <x v="46"/>
    <x v="323"/>
    <x v="6"/>
    <x v="18"/>
    <x v="65"/>
    <x v="4"/>
    <x v="64"/>
    <x v="4"/>
    <x v="181"/>
    <x v="1"/>
    <x v="1"/>
    <x v="1"/>
    <x v="7"/>
    <x v="4"/>
  </r>
  <r>
    <x v="1196"/>
    <x v="83"/>
    <x v="768"/>
    <x v="6"/>
    <x v="18"/>
    <x v="65"/>
    <x v="0"/>
    <x v="73"/>
    <x v="4"/>
    <x v="276"/>
    <x v="3"/>
    <x v="6"/>
    <x v="1"/>
    <x v="5"/>
    <x v="0"/>
  </r>
  <r>
    <x v="1197"/>
    <x v="80"/>
    <x v="769"/>
    <x v="0"/>
    <x v="51"/>
    <x v="14"/>
    <x v="2"/>
    <x v="28"/>
    <x v="0"/>
    <x v="200"/>
    <x v="1"/>
    <x v="5"/>
    <x v="1"/>
    <x v="8"/>
    <x v="2"/>
  </r>
  <r>
    <x v="1198"/>
    <x v="49"/>
    <x v="182"/>
    <x v="6"/>
    <x v="27"/>
    <x v="64"/>
    <x v="0"/>
    <x v="96"/>
    <x v="29"/>
    <x v="272"/>
    <x v="3"/>
    <x v="6"/>
    <x v="1"/>
    <x v="7"/>
    <x v="4"/>
  </r>
  <r>
    <x v="1199"/>
    <x v="17"/>
    <x v="220"/>
    <x v="3"/>
    <x v="4"/>
    <x v="12"/>
    <x v="4"/>
    <x v="7"/>
    <x v="21"/>
    <x v="5"/>
    <x v="1"/>
    <x v="4"/>
    <x v="1"/>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B17" firstHeaderRow="1" firstDataRow="1" firstDataCol="1"/>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axis="axisRow" showAll="0">
      <items count="7">
        <item x="4"/>
        <item x="5"/>
        <item x="0"/>
        <item x="3"/>
        <item x="1"/>
        <item x="2"/>
        <item t="default"/>
      </items>
    </pivotField>
    <pivotField dataField="1" showAll="0"/>
    <pivotField showAll="0"/>
    <pivotField showAll="0"/>
    <pivotField showAll="0"/>
    <pivotField showAll="0"/>
    <pivotField showAll="0"/>
    <pivotField showAll="0"/>
    <pivotField showAl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Distance_km" fld="7"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axis="axisRow" showAll="0">
      <items count="7">
        <item x="4"/>
        <item x="5"/>
        <item x="0"/>
        <item x="3"/>
        <item x="1"/>
        <item x="2"/>
        <item t="default"/>
      </items>
    </pivotField>
    <pivotField showAll="0"/>
    <pivotField showAll="0"/>
    <pivotField showAll="0"/>
    <pivotField showAll="0"/>
    <pivotField showAll="0"/>
    <pivotField showAll="0"/>
    <pivotField showAll="0"/>
    <pivotField showAl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Count of Trip_ID" fld="0" subtotal="count" baseField="0" baseItem="0"/>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B35" firstHeaderRow="1" firstDataRow="1" firstDataCol="1"/>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axis="axisRow" showAll="0">
      <items count="7">
        <item x="4"/>
        <item x="5"/>
        <item x="0"/>
        <item x="3"/>
        <item x="1"/>
        <item x="2"/>
        <item t="default"/>
      </items>
    </pivotField>
    <pivotField showAll="0"/>
    <pivotField showAll="0"/>
    <pivotField dataField="1" showAll="0"/>
    <pivotField showAll="0"/>
    <pivotField showAll="0"/>
    <pivotField showAll="0"/>
    <pivotField showAll="0"/>
    <pivotField showAl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Average of Fare_Amount_INR" fld="9" subtotal="average" baseField="6"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26" firstHeaderRow="1" firstDataRow="1" firstDataCol="1"/>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axis="axisRow" showAll="0">
      <items count="7">
        <item x="4"/>
        <item x="5"/>
        <item x="0"/>
        <item x="3"/>
        <item x="1"/>
        <item x="2"/>
        <item t="default"/>
      </items>
    </pivotField>
    <pivotField showAll="0"/>
    <pivotField showAll="0"/>
    <pivotField dataField="1" showAll="0"/>
    <pivotField showAll="0"/>
    <pivotField showAll="0"/>
    <pivotField showAll="0"/>
    <pivotField showAll="0"/>
    <pivotField showAl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Fare_Amount_INR" fld="9" baseField="0" baseItem="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6">
    <pivotField dataField="1"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4">
        <item x="0"/>
        <item x="1"/>
        <item x="2"/>
        <item x="3"/>
      </items>
    </pivotField>
  </pivotFields>
  <rowItems count="1">
    <i/>
  </rowItems>
  <colItems count="1">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showAll="0"/>
    <pivotField showAll="0"/>
    <pivotField dataField="1" showAll="0"/>
    <pivotField axis="axisRow" showAll="0">
      <items count="7">
        <item x="4"/>
        <item x="3"/>
        <item x="1"/>
        <item x="5"/>
        <item x="2"/>
        <item x="0"/>
        <item t="default"/>
      </items>
    </pivotField>
    <pivotField showAll="0"/>
    <pivotField showAll="0"/>
    <pivotField showAll="0"/>
    <pivotField showAll="0"/>
    <pivotField showAll="0">
      <items count="5">
        <item x="0"/>
        <item x="1"/>
        <item x="2"/>
        <item x="3"/>
        <item t="default"/>
      </items>
    </pivotField>
  </pivotFields>
  <rowFields count="1">
    <field x="10"/>
  </rowFields>
  <rowItems count="7">
    <i>
      <x/>
    </i>
    <i>
      <x v="1"/>
    </i>
    <i>
      <x v="2"/>
    </i>
    <i>
      <x v="3"/>
    </i>
    <i>
      <x v="4"/>
    </i>
    <i>
      <x v="5"/>
    </i>
    <i t="grand">
      <x/>
    </i>
  </rowItems>
  <colItems count="1">
    <i/>
  </colItems>
  <dataFields count="1">
    <dataField name="Sum of Fare_Amount_INR" fld="9"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4"/>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5"/>
          </reference>
        </references>
      </pivotArea>
    </chartFormat>
    <chartFormat chart="0" format="6">
      <pivotArea type="data" outline="0" fieldPosition="0">
        <references count="2">
          <reference field="4294967294" count="1" selected="0">
            <x v="0"/>
          </reference>
          <reference field="10"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0" count="1" selected="0">
            <x v="0"/>
          </reference>
        </references>
      </pivotArea>
    </chartFormat>
    <chartFormat chart="9" format="16">
      <pivotArea type="data" outline="0" fieldPosition="0">
        <references count="2">
          <reference field="4294967294" count="1" selected="0">
            <x v="0"/>
          </reference>
          <reference field="10" count="1" selected="0">
            <x v="1"/>
          </reference>
        </references>
      </pivotArea>
    </chartFormat>
    <chartFormat chart="9" format="17">
      <pivotArea type="data" outline="0" fieldPosition="0">
        <references count="2">
          <reference field="4294967294" count="1" selected="0">
            <x v="0"/>
          </reference>
          <reference field="10" count="1" selected="0">
            <x v="2"/>
          </reference>
        </references>
      </pivotArea>
    </chartFormat>
    <chartFormat chart="9" format="18">
      <pivotArea type="data" outline="0" fieldPosition="0">
        <references count="2">
          <reference field="4294967294" count="1" selected="0">
            <x v="0"/>
          </reference>
          <reference field="10" count="1" selected="0">
            <x v="3"/>
          </reference>
        </references>
      </pivotArea>
    </chartFormat>
    <chartFormat chart="9" format="19">
      <pivotArea type="data" outline="0" fieldPosition="0">
        <references count="2">
          <reference field="4294967294" count="1" selected="0">
            <x v="0"/>
          </reference>
          <reference field="10" count="1" selected="0">
            <x v="4"/>
          </reference>
        </references>
      </pivotArea>
    </chartFormat>
    <chartFormat chart="9"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831714-C4EC-4741-85DE-4A68108629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0" firstHeaderRow="1" firstDataRow="1" firstDataCol="1" rowPageCount="1" colPageCount="1"/>
  <pivotFields count="16">
    <pivotField dataField="1"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axis="axisPage" multipleItemSelectionAllowed="1" showAll="0">
      <items count="10">
        <item h="1" x="4"/>
        <item h="1" x="0"/>
        <item x="8"/>
        <item h="1" x="3"/>
        <item h="1" x="2"/>
        <item h="1" x="7"/>
        <item h="1" x="5"/>
        <item h="1" x="1"/>
        <item h="1" x="6"/>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defaultSubtotal="0">
      <items count="4">
        <item x="0"/>
        <item x="1"/>
        <item x="2"/>
        <item x="3"/>
      </items>
    </pivotField>
  </pivotFields>
  <rowFields count="1">
    <field x="12"/>
  </rowFields>
  <rowItems count="3">
    <i>
      <x/>
    </i>
    <i>
      <x v="1"/>
    </i>
    <i t="grand">
      <x/>
    </i>
  </rowItems>
  <colItems count="1">
    <i/>
  </colItems>
  <pageFields count="1">
    <pageField fld="3" hier="-1"/>
  </pageFields>
  <dataFields count="1">
    <dataField name="Count of Trip_ID" fld="0" subtotal="count" showDataAs="percentOfCo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6">
    <pivotField dataField="1"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n="May" sd="0" x="0"/>
        <item n="June" sd="0" x="1"/>
        <item n="July" sd="0" x="2"/>
        <item n="August" sd="0" x="3"/>
        <item t="default"/>
      </items>
    </pivotField>
  </pivotFields>
  <rowFields count="1">
    <field x="15"/>
  </rowFields>
  <rowItems count="5">
    <i>
      <x/>
    </i>
    <i>
      <x v="1"/>
    </i>
    <i>
      <x v="2"/>
    </i>
    <i>
      <x v="3"/>
    </i>
    <i t="grand">
      <x/>
    </i>
  </rowItems>
  <colItems count="1">
    <i/>
  </colItems>
  <dataFields count="1">
    <dataField name="Count of Trip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6">
    <pivotField dataField="1"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axis="axisRow" showAll="0" measureFilter="1" sortType="ascending">
      <items count="73">
        <item x="22"/>
        <item x="28"/>
        <item x="39"/>
        <item x="21"/>
        <item x="57"/>
        <item x="2"/>
        <item x="27"/>
        <item x="30"/>
        <item x="33"/>
        <item x="20"/>
        <item x="55"/>
        <item x="38"/>
        <item x="49"/>
        <item x="4"/>
        <item x="16"/>
        <item x="46"/>
        <item x="68"/>
        <item x="45"/>
        <item x="65"/>
        <item x="53"/>
        <item x="3"/>
        <item x="71"/>
        <item x="26"/>
        <item x="54"/>
        <item x="14"/>
        <item x="24"/>
        <item x="36"/>
        <item x="60"/>
        <item x="31"/>
        <item x="32"/>
        <item x="47"/>
        <item x="29"/>
        <item x="19"/>
        <item x="41"/>
        <item x="12"/>
        <item x="61"/>
        <item x="25"/>
        <item x="11"/>
        <item x="35"/>
        <item x="7"/>
        <item x="66"/>
        <item x="48"/>
        <item x="67"/>
        <item x="23"/>
        <item x="58"/>
        <item x="0"/>
        <item x="63"/>
        <item x="59"/>
        <item x="15"/>
        <item x="6"/>
        <item x="40"/>
        <item x="62"/>
        <item x="56"/>
        <item x="1"/>
        <item x="9"/>
        <item x="69"/>
        <item x="17"/>
        <item x="10"/>
        <item x="44"/>
        <item x="8"/>
        <item x="42"/>
        <item x="70"/>
        <item x="52"/>
        <item x="34"/>
        <item x="5"/>
        <item x="37"/>
        <item x="50"/>
        <item x="64"/>
        <item x="18"/>
        <item x="43"/>
        <item x="51"/>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rowFields count="1">
    <field x="4"/>
  </rowFields>
  <rowItems count="6">
    <i>
      <x v="63"/>
    </i>
    <i>
      <x/>
    </i>
    <i>
      <x v="11"/>
    </i>
    <i>
      <x v="23"/>
    </i>
    <i>
      <x v="4"/>
    </i>
    <i t="grand">
      <x/>
    </i>
  </rowItems>
  <colItems count="1">
    <i/>
  </colItems>
  <dataFields count="1">
    <dataField name="Count of Trip_ID" fld="0"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5"/>
          </reference>
        </references>
      </pivotArea>
    </chartFormat>
    <chartFormat chart="0" format="2">
      <pivotArea type="data" outline="0" fieldPosition="0">
        <references count="2">
          <reference field="4294967294" count="1" selected="0">
            <x v="0"/>
          </reference>
          <reference field="4" count="1" selected="0">
            <x v="36"/>
          </reference>
        </references>
      </pivotArea>
    </chartFormat>
    <chartFormat chart="0" format="3">
      <pivotArea type="data" outline="0" fieldPosition="0">
        <references count="2">
          <reference field="4294967294" count="1" selected="0">
            <x v="0"/>
          </reference>
          <reference field="4" count="1" selected="0">
            <x v="25"/>
          </reference>
        </references>
      </pivotArea>
    </chartFormat>
    <chartFormat chart="0" format="4">
      <pivotArea type="data" outline="0" fieldPosition="0">
        <references count="2">
          <reference field="4294967294" count="1" selected="0">
            <x v="0"/>
          </reference>
          <reference field="4" count="1" selected="0">
            <x v="13"/>
          </reference>
        </references>
      </pivotArea>
    </chartFormat>
    <chartFormat chart="0" format="5">
      <pivotArea type="data" outline="0" fieldPosition="0">
        <references count="2">
          <reference field="4294967294" count="1" selected="0">
            <x v="0"/>
          </reference>
          <reference field="4" count="1" selected="0">
            <x v="64"/>
          </reference>
        </references>
      </pivotArea>
    </chartFormat>
    <chartFormat chart="0" format="6">
      <pivotArea type="data" outline="0" fieldPosition="0">
        <references count="2">
          <reference field="4294967294" count="1" selected="0">
            <x v="0"/>
          </reference>
          <reference field="4" count="1" selected="0">
            <x v="65"/>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4" count="1" selected="0">
            <x v="25"/>
          </reference>
        </references>
      </pivotArea>
    </chartFormat>
    <chartFormat chart="9" format="16">
      <pivotArea type="data" outline="0" fieldPosition="0">
        <references count="2">
          <reference field="4294967294" count="1" selected="0">
            <x v="0"/>
          </reference>
          <reference field="4" count="1" selected="0">
            <x v="65"/>
          </reference>
        </references>
      </pivotArea>
    </chartFormat>
    <chartFormat chart="9" format="17">
      <pivotArea type="data" outline="0" fieldPosition="0">
        <references count="2">
          <reference field="4294967294" count="1" selected="0">
            <x v="0"/>
          </reference>
          <reference field="4" count="1" selected="0">
            <x v="13"/>
          </reference>
        </references>
      </pivotArea>
    </chartFormat>
    <chartFormat chart="9" format="18">
      <pivotArea type="data" outline="0" fieldPosition="0">
        <references count="2">
          <reference field="4294967294" count="1" selected="0">
            <x v="0"/>
          </reference>
          <reference field="4" count="1" selected="0">
            <x v="36"/>
          </reference>
        </references>
      </pivotArea>
    </chartFormat>
    <chartFormat chart="9" format="19">
      <pivotArea type="data" outline="0" fieldPosition="0">
        <references count="2">
          <reference field="4294967294" count="1" selected="0">
            <x v="0"/>
          </reference>
          <reference field="4" count="1" selected="0">
            <x v="64"/>
          </reference>
        </references>
      </pivotArea>
    </chartFormat>
    <chartFormat chart="9" format="20">
      <pivotArea type="data" outline="0" fieldPosition="0">
        <references count="2">
          <reference field="4294967294" count="1" selected="0">
            <x v="0"/>
          </reference>
          <reference field="4" count="1" selected="0">
            <x v="45"/>
          </reference>
        </references>
      </pivotArea>
    </chartFormat>
    <chartFormat chart="0" format="7">
      <pivotArea type="data" outline="0" fieldPosition="0">
        <references count="2">
          <reference field="4294967294" count="1" selected="0">
            <x v="0"/>
          </reference>
          <reference field="4" count="1" selected="0">
            <x v="60"/>
          </reference>
        </references>
      </pivotArea>
    </chartFormat>
    <chartFormat chart="0" format="8">
      <pivotArea type="data" outline="0" fieldPosition="0">
        <references count="2">
          <reference field="4294967294" count="1" selected="0">
            <x v="0"/>
          </reference>
          <reference field="4" count="1" selected="0">
            <x v="9"/>
          </reference>
        </references>
      </pivotArea>
    </chartFormat>
    <chartFormat chart="0" format="9">
      <pivotArea type="data" outline="0" fieldPosition="0">
        <references count="2">
          <reference field="4294967294" count="1" selected="0">
            <x v="0"/>
          </reference>
          <reference field="4" count="1" selected="0">
            <x v="22"/>
          </reference>
        </references>
      </pivotArea>
    </chartFormat>
    <chartFormat chart="0" format="10">
      <pivotArea type="data" outline="0" fieldPosition="0">
        <references count="2">
          <reference field="4294967294" count="1" selected="0">
            <x v="0"/>
          </reference>
          <reference field="4" count="1" selected="0">
            <x v="1"/>
          </reference>
        </references>
      </pivotArea>
    </chartFormat>
    <chartFormat chart="0" format="11">
      <pivotArea type="data" outline="0" fieldPosition="0">
        <references count="2">
          <reference field="4294967294" count="1" selected="0">
            <x v="0"/>
          </reference>
          <reference field="4" count="1" selected="0">
            <x v="63"/>
          </reference>
        </references>
      </pivotArea>
    </chartFormat>
    <chartFormat chart="0" format="12">
      <pivotArea type="data" outline="0" fieldPosition="0">
        <references count="2">
          <reference field="4294967294" count="1" selected="0">
            <x v="0"/>
          </reference>
          <reference field="4" count="1" selected="0">
            <x v="0"/>
          </reference>
        </references>
      </pivotArea>
    </chartFormat>
    <chartFormat chart="0" format="13">
      <pivotArea type="data" outline="0" fieldPosition="0">
        <references count="2">
          <reference field="4294967294" count="1" selected="0">
            <x v="0"/>
          </reference>
          <reference field="4" count="1" selected="0">
            <x v="11"/>
          </reference>
        </references>
      </pivotArea>
    </chartFormat>
    <chartFormat chart="0" format="14">
      <pivotArea type="data" outline="0" fieldPosition="0">
        <references count="2">
          <reference field="4294967294" count="1" selected="0">
            <x v="0"/>
          </reference>
          <reference field="4" count="1" selected="0">
            <x v="23"/>
          </reference>
        </references>
      </pivotArea>
    </chartFormat>
    <chartFormat chart="0" format="15">
      <pivotArea type="data" outline="0" fieldPosition="0">
        <references count="2">
          <reference field="4294967294" count="1" selected="0">
            <x v="0"/>
          </reference>
          <reference field="4" count="1" selected="0">
            <x v="4"/>
          </reference>
        </references>
      </pivotArea>
    </chartFormat>
    <chartFormat chart="0" format="16">
      <pivotArea type="data" outline="0" fieldPosition="0">
        <references count="2">
          <reference field="4294967294" count="1" selected="0">
            <x v="0"/>
          </reference>
          <reference field="4" count="1" selected="0">
            <x v="6"/>
          </reference>
        </references>
      </pivotArea>
    </chartFormat>
    <chartFormat chart="0" format="17">
      <pivotArea type="data" outline="0" fieldPosition="0">
        <references count="2">
          <reference field="4294967294" count="1" selected="0">
            <x v="0"/>
          </reference>
          <reference field="4" count="1" selected="0">
            <x v="39"/>
          </reference>
        </references>
      </pivotArea>
    </chartFormat>
    <chartFormat chart="0" format="18">
      <pivotArea type="data" outline="0" fieldPosition="0">
        <references count="2">
          <reference field="4294967294" count="1" selected="0">
            <x v="0"/>
          </reference>
          <reference field="4" count="1" selected="0">
            <x v="54"/>
          </reference>
        </references>
      </pivotArea>
    </chartFormat>
    <chartFormat chart="0" format="19">
      <pivotArea type="data" outline="0" fieldPosition="0">
        <references count="2">
          <reference field="4294967294" count="1" selected="0">
            <x v="0"/>
          </reference>
          <reference field="4" count="1" selected="0">
            <x v="38"/>
          </reference>
        </references>
      </pivotArea>
    </chartFormat>
    <chartFormat chart="0" format="20">
      <pivotArea type="data" outline="0" fieldPosition="0">
        <references count="2">
          <reference field="4294967294" count="1" selected="0">
            <x v="0"/>
          </reference>
          <reference field="4" count="1" selected="0">
            <x v="69"/>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items count="7">
        <item x="4"/>
        <item x="5"/>
        <item x="0"/>
        <item x="3"/>
        <item x="1"/>
        <item x="2"/>
        <item t="default"/>
      </items>
    </pivotField>
    <pivotField showAll="0"/>
    <pivotField showAll="0"/>
    <pivotField dataField="1"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Average of Fare_Amount_INR" fld="9" subtotal="average"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900-00000B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Sum of Distance_km" fld="7"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A00-00000C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Average of Trip_Duration_min" fld="8" subtotal="average"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Average of Distance_km" fld="7" subtotal="average"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C00-00000E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pivotField showAll="0">
      <items count="10">
        <item h="1" x="4"/>
        <item h="1" x="0"/>
        <item x="8"/>
        <item h="1" x="3"/>
        <item h="1" x="2"/>
        <item h="1" x="7"/>
        <item h="1" x="5"/>
        <item h="1" x="1"/>
        <item h="1" x="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s>
  <rowItems count="1">
    <i/>
  </rowItems>
  <colItems count="1">
    <i/>
  </colItems>
  <dataFields count="1">
    <dataField name="Sum of Fare_Amount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D00-00000F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items count="771">
        <item x="462"/>
        <item x="245"/>
        <item x="254"/>
        <item x="126"/>
        <item x="559"/>
        <item x="448"/>
        <item x="695"/>
        <item x="326"/>
        <item x="162"/>
        <item x="667"/>
        <item x="584"/>
        <item x="458"/>
        <item x="130"/>
        <item x="735"/>
        <item x="642"/>
        <item x="109"/>
        <item x="567"/>
        <item x="25"/>
        <item x="80"/>
        <item x="707"/>
        <item x="710"/>
        <item x="302"/>
        <item x="515"/>
        <item x="78"/>
        <item x="690"/>
        <item x="666"/>
        <item x="27"/>
        <item x="434"/>
        <item x="741"/>
        <item x="291"/>
        <item x="398"/>
        <item x="115"/>
        <item x="356"/>
        <item x="295"/>
        <item x="457"/>
        <item x="3"/>
        <item x="92"/>
        <item x="106"/>
        <item x="615"/>
        <item x="703"/>
        <item x="247"/>
        <item x="504"/>
        <item x="753"/>
        <item x="725"/>
        <item x="478"/>
        <item x="57"/>
        <item x="327"/>
        <item x="746"/>
        <item x="700"/>
        <item x="314"/>
        <item x="420"/>
        <item x="120"/>
        <item x="600"/>
        <item x="261"/>
        <item x="44"/>
        <item x="246"/>
        <item x="481"/>
        <item x="380"/>
        <item x="676"/>
        <item x="348"/>
        <item x="391"/>
        <item x="452"/>
        <item x="592"/>
        <item x="410"/>
        <item x="433"/>
        <item x="217"/>
        <item x="187"/>
        <item x="251"/>
        <item x="510"/>
        <item x="633"/>
        <item x="641"/>
        <item x="265"/>
        <item x="616"/>
        <item x="693"/>
        <item x="604"/>
        <item x="585"/>
        <item x="83"/>
        <item x="751"/>
        <item x="311"/>
        <item x="702"/>
        <item x="679"/>
        <item x="165"/>
        <item x="122"/>
        <item x="131"/>
        <item x="696"/>
        <item x="718"/>
        <item x="619"/>
        <item x="336"/>
        <item x="731"/>
        <item x="717"/>
        <item x="193"/>
        <item x="683"/>
        <item x="33"/>
        <item x="444"/>
        <item x="491"/>
        <item x="145"/>
        <item x="437"/>
        <item x="289"/>
        <item x="350"/>
        <item x="427"/>
        <item x="129"/>
        <item x="414"/>
        <item x="271"/>
        <item x="755"/>
        <item x="742"/>
        <item x="216"/>
        <item x="630"/>
        <item x="237"/>
        <item x="743"/>
        <item x="507"/>
        <item x="88"/>
        <item x="577"/>
        <item x="704"/>
        <item x="278"/>
        <item x="588"/>
        <item x="620"/>
        <item x="556"/>
        <item x="402"/>
        <item x="591"/>
        <item x="406"/>
        <item x="253"/>
        <item x="682"/>
        <item x="166"/>
        <item x="516"/>
        <item x="733"/>
        <item x="309"/>
        <item x="720"/>
        <item x="654"/>
        <item x="405"/>
        <item x="472"/>
        <item x="223"/>
        <item x="43"/>
        <item x="38"/>
        <item x="322"/>
        <item x="614"/>
        <item x="102"/>
        <item x="750"/>
        <item x="175"/>
        <item x="601"/>
        <item x="687"/>
        <item x="198"/>
        <item x="330"/>
        <item x="711"/>
        <item x="93"/>
        <item x="563"/>
        <item x="41"/>
        <item x="378"/>
        <item x="104"/>
        <item x="258"/>
        <item x="738"/>
        <item x="316"/>
        <item x="171"/>
        <item x="685"/>
        <item x="224"/>
        <item x="571"/>
        <item x="496"/>
        <item x="625"/>
        <item x="535"/>
        <item x="221"/>
        <item x="471"/>
        <item x="154"/>
        <item x="645"/>
        <item x="220"/>
        <item x="117"/>
        <item x="441"/>
        <item x="551"/>
        <item x="329"/>
        <item x="36"/>
        <item x="644"/>
        <item x="526"/>
        <item x="463"/>
        <item x="67"/>
        <item x="243"/>
        <item x="637"/>
        <item x="347"/>
        <item x="195"/>
        <item x="651"/>
        <item x="211"/>
        <item x="201"/>
        <item x="364"/>
        <item x="430"/>
        <item x="383"/>
        <item x="483"/>
        <item x="4"/>
        <item x="712"/>
        <item x="415"/>
        <item x="583"/>
        <item x="141"/>
        <item x="652"/>
        <item x="363"/>
        <item x="147"/>
        <item x="267"/>
        <item x="218"/>
        <item x="103"/>
        <item x="511"/>
        <item x="632"/>
        <item x="270"/>
        <item x="697"/>
        <item x="635"/>
        <item x="466"/>
        <item x="659"/>
        <item x="388"/>
        <item x="20"/>
        <item x="119"/>
        <item x="480"/>
        <item x="613"/>
        <item x="66"/>
        <item x="688"/>
        <item x="68"/>
        <item x="76"/>
        <item x="545"/>
        <item x="425"/>
        <item x="475"/>
        <item x="713"/>
        <item x="395"/>
        <item x="596"/>
        <item x="407"/>
        <item x="523"/>
        <item x="579"/>
        <item x="749"/>
        <item x="333"/>
        <item x="337"/>
        <item x="84"/>
        <item x="228"/>
        <item x="456"/>
        <item x="492"/>
        <item x="509"/>
        <item x="505"/>
        <item x="497"/>
        <item x="716"/>
        <item x="524"/>
        <item x="384"/>
        <item x="134"/>
        <item x="24"/>
        <item x="114"/>
        <item x="386"/>
        <item x="263"/>
        <item x="576"/>
        <item x="178"/>
        <item x="518"/>
        <item x="607"/>
        <item x="123"/>
        <item x="199"/>
        <item x="89"/>
        <item x="306"/>
        <item x="208"/>
        <item x="450"/>
        <item x="689"/>
        <item x="72"/>
        <item x="231"/>
        <item x="202"/>
        <item x="730"/>
        <item x="553"/>
        <item x="488"/>
        <item x="167"/>
        <item x="371"/>
        <item x="73"/>
        <item x="239"/>
        <item x="680"/>
        <item x="164"/>
        <item x="622"/>
        <item x="248"/>
        <item x="338"/>
        <item x="249"/>
        <item x="125"/>
        <item x="658"/>
        <item x="158"/>
        <item x="22"/>
        <item x="519"/>
        <item x="10"/>
        <item x="454"/>
        <item x="661"/>
        <item x="184"/>
        <item x="1"/>
        <item x="155"/>
        <item x="382"/>
        <item x="539"/>
        <item x="77"/>
        <item x="197"/>
        <item x="445"/>
        <item x="629"/>
        <item x="82"/>
        <item x="502"/>
        <item x="757"/>
        <item x="323"/>
        <item x="446"/>
        <item x="440"/>
        <item x="375"/>
        <item x="173"/>
        <item x="586"/>
        <item x="360"/>
        <item x="297"/>
        <item x="346"/>
        <item x="729"/>
        <item x="728"/>
        <item x="287"/>
        <item x="761"/>
        <item x="21"/>
        <item x="484"/>
        <item x="543"/>
        <item x="229"/>
        <item x="706"/>
        <item x="759"/>
        <item x="340"/>
        <item x="541"/>
        <item x="767"/>
        <item x="233"/>
        <item x="116"/>
        <item x="35"/>
        <item x="266"/>
        <item x="381"/>
        <item x="298"/>
        <item x="205"/>
        <item x="649"/>
        <item x="110"/>
        <item x="341"/>
        <item x="308"/>
        <item x="673"/>
        <item x="665"/>
        <item x="365"/>
        <item x="62"/>
        <item x="467"/>
        <item x="262"/>
        <item x="71"/>
        <item x="355"/>
        <item x="362"/>
        <item x="26"/>
        <item x="664"/>
        <item x="499"/>
        <item x="276"/>
        <item x="469"/>
        <item x="358"/>
        <item x="250"/>
        <item x="272"/>
        <item x="69"/>
        <item x="474"/>
        <item x="764"/>
        <item x="719"/>
        <item x="90"/>
        <item x="674"/>
        <item x="127"/>
        <item x="259"/>
        <item x="234"/>
        <item x="188"/>
        <item x="124"/>
        <item x="64"/>
        <item x="200"/>
        <item x="376"/>
        <item x="390"/>
        <item x="318"/>
        <item x="573"/>
        <item x="241"/>
        <item x="578"/>
        <item x="359"/>
        <item x="686"/>
        <item x="268"/>
        <item x="91"/>
        <item x="282"/>
        <item x="252"/>
        <item x="55"/>
        <item x="486"/>
        <item x="538"/>
        <item x="53"/>
        <item x="554"/>
        <item x="602"/>
        <item x="443"/>
        <item x="411"/>
        <item x="508"/>
        <item x="59"/>
        <item x="550"/>
        <item x="436"/>
        <item x="621"/>
        <item x="135"/>
        <item x="714"/>
        <item x="628"/>
        <item x="528"/>
        <item x="63"/>
        <item x="121"/>
        <item x="52"/>
        <item x="48"/>
        <item x="148"/>
        <item x="94"/>
        <item x="226"/>
        <item x="257"/>
        <item x="163"/>
        <item x="424"/>
        <item x="692"/>
        <item x="304"/>
        <item x="677"/>
        <item x="656"/>
        <item x="196"/>
        <item x="335"/>
        <item x="394"/>
        <item x="512"/>
        <item x="461"/>
        <item x="46"/>
        <item x="161"/>
        <item x="385"/>
        <item x="513"/>
        <item x="392"/>
        <item x="296"/>
        <item x="300"/>
        <item x="569"/>
        <item x="2"/>
        <item x="506"/>
        <item x="294"/>
        <item x="96"/>
        <item x="597"/>
        <item x="657"/>
        <item x="279"/>
        <item x="501"/>
        <item x="606"/>
        <item x="299"/>
        <item x="156"/>
        <item x="435"/>
        <item x="183"/>
        <item x="146"/>
        <item x="681"/>
        <item x="747"/>
        <item x="534"/>
        <item x="684"/>
        <item x="699"/>
        <item x="525"/>
        <item x="132"/>
        <item x="321"/>
        <item x="634"/>
        <item x="503"/>
        <item x="547"/>
        <item x="581"/>
        <item x="203"/>
        <item x="50"/>
        <item x="47"/>
        <item x="112"/>
        <item x="160"/>
        <item x="190"/>
        <item x="23"/>
        <item x="708"/>
        <item x="194"/>
        <item x="737"/>
        <item x="12"/>
        <item x="566"/>
        <item x="288"/>
        <item x="260"/>
        <item x="325"/>
        <item x="235"/>
        <item x="527"/>
        <item x="317"/>
        <item x="137"/>
        <item x="455"/>
        <item x="739"/>
        <item x="285"/>
        <item x="15"/>
        <item x="570"/>
        <item x="453"/>
        <item x="548"/>
        <item x="176"/>
        <item x="240"/>
        <item x="726"/>
        <item x="284"/>
        <item x="490"/>
        <item x="744"/>
        <item x="653"/>
        <item x="334"/>
        <item x="612"/>
        <item x="256"/>
        <item x="636"/>
        <item x="521"/>
        <item x="277"/>
        <item x="283"/>
        <item x="60"/>
        <item x="671"/>
        <item x="705"/>
        <item x="417"/>
        <item x="170"/>
        <item x="533"/>
        <item x="274"/>
        <item x="627"/>
        <item x="328"/>
        <item x="345"/>
        <item x="631"/>
        <item x="431"/>
        <item x="470"/>
        <item x="49"/>
        <item x="139"/>
        <item x="293"/>
        <item x="264"/>
        <item x="473"/>
        <item x="546"/>
        <item x="418"/>
        <item x="638"/>
        <item x="320"/>
        <item x="354"/>
        <item x="404"/>
        <item x="97"/>
        <item x="416"/>
        <item x="419"/>
        <item x="438"/>
        <item x="754"/>
        <item x="45"/>
        <item x="100"/>
        <item x="589"/>
        <item x="207"/>
        <item x="303"/>
        <item x="236"/>
        <item x="118"/>
        <item x="214"/>
        <item x="324"/>
        <item x="212"/>
        <item x="281"/>
        <item x="40"/>
        <item x="447"/>
        <item x="599"/>
        <item x="561"/>
        <item x="514"/>
        <item x="225"/>
        <item x="624"/>
        <item x="368"/>
        <item x="522"/>
        <item x="647"/>
        <item x="500"/>
        <item x="423"/>
        <item x="6"/>
        <item x="319"/>
        <item x="182"/>
        <item x="255"/>
        <item x="520"/>
        <item x="42"/>
        <item x="396"/>
        <item x="315"/>
        <item x="643"/>
        <item x="468"/>
        <item x="111"/>
        <item x="670"/>
        <item x="768"/>
        <item x="58"/>
        <item x="213"/>
        <item x="429"/>
        <item x="758"/>
        <item x="275"/>
        <item x="451"/>
        <item x="186"/>
        <item x="86"/>
        <item x="222"/>
        <item x="29"/>
        <item x="552"/>
        <item x="489"/>
        <item x="756"/>
        <item x="332"/>
        <item x="351"/>
        <item x="215"/>
        <item x="374"/>
        <item x="85"/>
        <item x="269"/>
        <item x="65"/>
        <item x="353"/>
        <item x="648"/>
        <item x="532"/>
        <item x="540"/>
        <item x="403"/>
        <item x="745"/>
        <item x="372"/>
        <item x="748"/>
        <item x="74"/>
        <item x="582"/>
        <item x="379"/>
        <item x="149"/>
        <item x="399"/>
        <item x="331"/>
        <item x="349"/>
        <item x="32"/>
        <item x="611"/>
        <item x="485"/>
        <item x="313"/>
        <item x="734"/>
        <item x="142"/>
        <item x="168"/>
        <item x="587"/>
        <item x="95"/>
        <item x="723"/>
        <item x="7"/>
        <item x="339"/>
        <item x="531"/>
        <item x="9"/>
        <item x="51"/>
        <item x="727"/>
        <item x="691"/>
        <item x="17"/>
        <item x="370"/>
        <item x="192"/>
        <item x="79"/>
        <item x="34"/>
        <item x="153"/>
        <item x="54"/>
        <item x="393"/>
        <item x="5"/>
        <item x="181"/>
        <item x="244"/>
        <item x="752"/>
        <item x="128"/>
        <item x="136"/>
        <item x="75"/>
        <item x="672"/>
        <item x="557"/>
        <item x="8"/>
        <item x="189"/>
        <item x="694"/>
        <item x="61"/>
        <item x="242"/>
        <item x="565"/>
        <item x="397"/>
        <item x="16"/>
        <item x="477"/>
        <item x="227"/>
        <item x="542"/>
        <item x="476"/>
        <item x="595"/>
        <item x="305"/>
        <item x="179"/>
        <item x="715"/>
        <item x="740"/>
        <item x="530"/>
        <item x="769"/>
        <item x="594"/>
        <item x="766"/>
        <item x="98"/>
        <item x="760"/>
        <item x="401"/>
        <item x="493"/>
        <item x="310"/>
        <item x="206"/>
        <item x="87"/>
        <item x="724"/>
        <item x="442"/>
        <item x="140"/>
        <item x="650"/>
        <item x="568"/>
        <item x="593"/>
        <item x="357"/>
        <item x="366"/>
        <item x="373"/>
        <item x="344"/>
        <item x="230"/>
        <item x="219"/>
        <item x="495"/>
        <item x="273"/>
        <item x="562"/>
        <item x="204"/>
        <item x="465"/>
        <item x="459"/>
        <item x="598"/>
        <item x="185"/>
        <item x="172"/>
        <item x="113"/>
        <item x="39"/>
        <item x="549"/>
        <item x="560"/>
        <item x="765"/>
        <item x="400"/>
        <item x="722"/>
        <item x="286"/>
        <item x="307"/>
        <item x="37"/>
        <item x="292"/>
        <item x="623"/>
        <item x="28"/>
        <item x="174"/>
        <item x="660"/>
        <item x="460"/>
        <item x="157"/>
        <item x="464"/>
        <item x="413"/>
        <item x="422"/>
        <item x="580"/>
        <item x="732"/>
        <item x="301"/>
        <item x="138"/>
        <item x="646"/>
        <item x="662"/>
        <item x="70"/>
        <item x="617"/>
        <item x="494"/>
        <item x="312"/>
        <item x="517"/>
        <item x="426"/>
        <item x="498"/>
        <item x="152"/>
        <item x="14"/>
        <item x="11"/>
        <item x="169"/>
        <item x="367"/>
        <item x="389"/>
        <item x="605"/>
        <item x="290"/>
        <item x="31"/>
        <item x="108"/>
        <item x="177"/>
        <item x="618"/>
        <item x="56"/>
        <item x="30"/>
        <item x="487"/>
        <item x="439"/>
        <item x="529"/>
        <item x="0"/>
        <item x="13"/>
        <item x="572"/>
        <item x="369"/>
        <item x="18"/>
        <item x="574"/>
        <item x="603"/>
        <item x="763"/>
        <item x="133"/>
        <item x="736"/>
        <item x="537"/>
        <item x="609"/>
        <item x="209"/>
        <item x="408"/>
        <item x="608"/>
        <item x="19"/>
        <item x="709"/>
        <item x="655"/>
        <item x="232"/>
        <item x="180"/>
        <item x="721"/>
        <item x="610"/>
        <item x="698"/>
        <item x="342"/>
        <item x="432"/>
        <item x="762"/>
        <item x="387"/>
        <item x="107"/>
        <item x="377"/>
        <item x="640"/>
        <item x="412"/>
        <item x="361"/>
        <item x="575"/>
        <item x="678"/>
        <item x="409"/>
        <item x="352"/>
        <item x="555"/>
        <item x="479"/>
        <item x="143"/>
        <item x="144"/>
        <item x="99"/>
        <item x="238"/>
        <item x="536"/>
        <item x="428"/>
        <item x="639"/>
        <item x="590"/>
        <item x="421"/>
        <item x="191"/>
        <item x="663"/>
        <item x="669"/>
        <item x="343"/>
        <item x="81"/>
        <item x="675"/>
        <item x="151"/>
        <item x="105"/>
        <item x="280"/>
        <item x="159"/>
        <item x="150"/>
        <item x="101"/>
        <item x="449"/>
        <item x="558"/>
        <item x="210"/>
        <item x="544"/>
        <item x="701"/>
        <item x="564"/>
        <item x="482"/>
        <item x="668"/>
        <item x="626"/>
        <item t="default"/>
      </items>
    </pivotField>
    <pivotField axis="axisRow" showAll="0">
      <items count="10">
        <item h="1" x="4"/>
        <item h="1" x="0"/>
        <item x="8"/>
        <item h="1" x="3"/>
        <item h="1" x="2"/>
        <item h="1" x="7"/>
        <item h="1" x="5"/>
        <item h="1" x="1"/>
        <item h="1" x="6"/>
        <item t="default"/>
      </items>
    </pivotField>
    <pivotField showAll="0">
      <items count="73">
        <item x="22"/>
        <item x="28"/>
        <item x="39"/>
        <item x="21"/>
        <item x="57"/>
        <item x="2"/>
        <item x="27"/>
        <item x="30"/>
        <item x="33"/>
        <item x="20"/>
        <item x="55"/>
        <item x="38"/>
        <item x="49"/>
        <item x="4"/>
        <item x="16"/>
        <item x="46"/>
        <item x="68"/>
        <item x="45"/>
        <item x="65"/>
        <item x="53"/>
        <item x="3"/>
        <item x="71"/>
        <item x="26"/>
        <item x="54"/>
        <item x="14"/>
        <item x="24"/>
        <item x="36"/>
        <item x="60"/>
        <item x="31"/>
        <item x="32"/>
        <item x="47"/>
        <item x="29"/>
        <item x="19"/>
        <item x="41"/>
        <item x="12"/>
        <item x="61"/>
        <item x="25"/>
        <item x="11"/>
        <item x="35"/>
        <item x="7"/>
        <item x="66"/>
        <item x="48"/>
        <item x="67"/>
        <item x="23"/>
        <item x="58"/>
        <item x="0"/>
        <item x="63"/>
        <item x="59"/>
        <item x="15"/>
        <item x="6"/>
        <item x="40"/>
        <item x="62"/>
        <item x="56"/>
        <item x="1"/>
        <item x="9"/>
        <item x="69"/>
        <item x="17"/>
        <item x="10"/>
        <item x="44"/>
        <item x="8"/>
        <item x="42"/>
        <item x="70"/>
        <item x="52"/>
        <item x="34"/>
        <item x="5"/>
        <item x="37"/>
        <item x="50"/>
        <item x="64"/>
        <item x="18"/>
        <item x="43"/>
        <item x="51"/>
        <item x="13"/>
        <item t="default"/>
      </items>
    </pivotField>
    <pivotField showAll="0">
      <items count="73">
        <item x="71"/>
        <item x="70"/>
        <item x="50"/>
        <item x="37"/>
        <item x="47"/>
        <item x="1"/>
        <item x="65"/>
        <item x="53"/>
        <item x="2"/>
        <item x="21"/>
        <item x="59"/>
        <item x="57"/>
        <item x="51"/>
        <item x="23"/>
        <item x="60"/>
        <item x="18"/>
        <item x="63"/>
        <item x="52"/>
        <item x="22"/>
        <item x="61"/>
        <item x="69"/>
        <item x="16"/>
        <item x="25"/>
        <item x="45"/>
        <item x="4"/>
        <item x="28"/>
        <item x="10"/>
        <item x="8"/>
        <item x="3"/>
        <item x="66"/>
        <item x="14"/>
        <item x="12"/>
        <item x="42"/>
        <item x="6"/>
        <item x="40"/>
        <item x="29"/>
        <item x="35"/>
        <item x="49"/>
        <item x="41"/>
        <item x="34"/>
        <item x="67"/>
        <item x="56"/>
        <item x="55"/>
        <item x="38"/>
        <item x="54"/>
        <item x="15"/>
        <item x="20"/>
        <item x="68"/>
        <item x="5"/>
        <item x="43"/>
        <item x="9"/>
        <item x="39"/>
        <item x="30"/>
        <item x="27"/>
        <item x="48"/>
        <item x="11"/>
        <item x="26"/>
        <item x="32"/>
        <item x="62"/>
        <item x="58"/>
        <item x="13"/>
        <item x="31"/>
        <item x="36"/>
        <item x="19"/>
        <item x="17"/>
        <item x="46"/>
        <item x="24"/>
        <item x="44"/>
        <item x="64"/>
        <item x="7"/>
        <item x="0"/>
        <item x="33"/>
        <item t="default"/>
      </items>
    </pivotField>
    <pivotField showAll="0">
      <items count="7">
        <item x="4"/>
        <item x="5"/>
        <item x="0"/>
        <item x="3"/>
        <item x="1"/>
        <item x="2"/>
        <item t="default"/>
      </items>
    </pivotField>
    <pivotField showAll="0">
      <items count="193">
        <item x="52"/>
        <item x="103"/>
        <item x="58"/>
        <item x="133"/>
        <item x="159"/>
        <item x="111"/>
        <item x="64"/>
        <item x="4"/>
        <item x="14"/>
        <item x="119"/>
        <item x="38"/>
        <item x="74"/>
        <item x="66"/>
        <item x="134"/>
        <item x="83"/>
        <item x="0"/>
        <item x="87"/>
        <item x="69"/>
        <item x="12"/>
        <item x="73"/>
        <item x="5"/>
        <item x="63"/>
        <item x="28"/>
        <item x="47"/>
        <item x="65"/>
        <item x="31"/>
        <item x="101"/>
        <item x="26"/>
        <item x="97"/>
        <item x="7"/>
        <item x="40"/>
        <item x="33"/>
        <item x="29"/>
        <item x="39"/>
        <item x="127"/>
        <item x="68"/>
        <item x="130"/>
        <item x="79"/>
        <item x="46"/>
        <item x="62"/>
        <item x="15"/>
        <item x="107"/>
        <item x="60"/>
        <item x="94"/>
        <item x="76"/>
        <item x="142"/>
        <item x="8"/>
        <item x="6"/>
        <item x="45"/>
        <item x="13"/>
        <item x="18"/>
        <item x="77"/>
        <item x="113"/>
        <item x="49"/>
        <item x="91"/>
        <item x="36"/>
        <item x="21"/>
        <item x="37"/>
        <item x="34"/>
        <item x="84"/>
        <item x="102"/>
        <item x="2"/>
        <item x="118"/>
        <item x="78"/>
        <item x="54"/>
        <item x="50"/>
        <item x="10"/>
        <item x="143"/>
        <item x="109"/>
        <item x="126"/>
        <item x="105"/>
        <item x="20"/>
        <item x="85"/>
        <item x="17"/>
        <item x="121"/>
        <item x="96"/>
        <item x="44"/>
        <item x="81"/>
        <item x="16"/>
        <item x="137"/>
        <item x="25"/>
        <item x="115"/>
        <item x="153"/>
        <item x="9"/>
        <item x="86"/>
        <item x="1"/>
        <item x="110"/>
        <item x="57"/>
        <item x="176"/>
        <item x="158"/>
        <item x="112"/>
        <item x="22"/>
        <item x="138"/>
        <item x="35"/>
        <item x="114"/>
        <item x="95"/>
        <item x="61"/>
        <item x="123"/>
        <item x="106"/>
        <item x="89"/>
        <item x="108"/>
        <item x="160"/>
        <item x="132"/>
        <item x="51"/>
        <item x="188"/>
        <item x="19"/>
        <item x="70"/>
        <item x="67"/>
        <item x="100"/>
        <item x="187"/>
        <item x="136"/>
        <item x="23"/>
        <item x="82"/>
        <item x="183"/>
        <item x="75"/>
        <item x="56"/>
        <item x="32"/>
        <item x="129"/>
        <item x="162"/>
        <item x="149"/>
        <item x="93"/>
        <item x="124"/>
        <item x="122"/>
        <item x="41"/>
        <item x="59"/>
        <item x="88"/>
        <item x="186"/>
        <item x="72"/>
        <item x="99"/>
        <item x="128"/>
        <item x="90"/>
        <item x="116"/>
        <item x="117"/>
        <item x="55"/>
        <item x="92"/>
        <item x="152"/>
        <item x="120"/>
        <item x="177"/>
        <item x="175"/>
        <item x="145"/>
        <item x="135"/>
        <item x="154"/>
        <item x="167"/>
        <item x="164"/>
        <item x="71"/>
        <item x="48"/>
        <item x="191"/>
        <item x="98"/>
        <item x="182"/>
        <item x="131"/>
        <item x="163"/>
        <item x="172"/>
        <item x="146"/>
        <item x="144"/>
        <item x="24"/>
        <item x="27"/>
        <item x="185"/>
        <item x="30"/>
        <item x="139"/>
        <item x="42"/>
        <item x="180"/>
        <item x="148"/>
        <item x="165"/>
        <item x="151"/>
        <item x="171"/>
        <item x="125"/>
        <item x="147"/>
        <item x="174"/>
        <item x="150"/>
        <item x="53"/>
        <item x="181"/>
        <item x="168"/>
        <item x="80"/>
        <item x="3"/>
        <item x="104"/>
        <item x="169"/>
        <item x="43"/>
        <item x="173"/>
        <item x="179"/>
        <item x="157"/>
        <item x="178"/>
        <item x="140"/>
        <item x="189"/>
        <item x="166"/>
        <item x="141"/>
        <item x="184"/>
        <item x="161"/>
        <item x="155"/>
        <item x="11"/>
        <item x="156"/>
        <item x="170"/>
        <item x="190"/>
        <item t="default"/>
      </items>
    </pivotField>
    <pivotField showAll="0">
      <items count="66">
        <item x="4"/>
        <item x="37"/>
        <item x="24"/>
        <item x="19"/>
        <item x="21"/>
        <item x="22"/>
        <item x="7"/>
        <item x="5"/>
        <item x="0"/>
        <item x="6"/>
        <item x="43"/>
        <item x="13"/>
        <item x="23"/>
        <item x="30"/>
        <item x="29"/>
        <item x="10"/>
        <item x="32"/>
        <item x="12"/>
        <item x="36"/>
        <item x="2"/>
        <item x="25"/>
        <item x="8"/>
        <item x="1"/>
        <item x="15"/>
        <item x="38"/>
        <item x="17"/>
        <item x="26"/>
        <item x="44"/>
        <item x="46"/>
        <item x="14"/>
        <item x="40"/>
        <item x="16"/>
        <item x="35"/>
        <item x="11"/>
        <item x="48"/>
        <item x="52"/>
        <item x="33"/>
        <item x="42"/>
        <item x="39"/>
        <item x="51"/>
        <item x="3"/>
        <item x="41"/>
        <item x="45"/>
        <item x="62"/>
        <item x="28"/>
        <item x="54"/>
        <item x="47"/>
        <item x="27"/>
        <item x="53"/>
        <item x="31"/>
        <item x="57"/>
        <item x="49"/>
        <item x="18"/>
        <item x="61"/>
        <item x="50"/>
        <item x="20"/>
        <item x="63"/>
        <item x="34"/>
        <item x="55"/>
        <item x="59"/>
        <item x="58"/>
        <item x="60"/>
        <item x="64"/>
        <item x="9"/>
        <item x="56"/>
        <item t="default"/>
      </items>
    </pivotField>
    <pivotField dataField="1" showAll="0">
      <items count="402">
        <item x="393"/>
        <item x="314"/>
        <item x="376"/>
        <item x="325"/>
        <item x="377"/>
        <item x="391"/>
        <item x="367"/>
        <item x="90"/>
        <item x="297"/>
        <item x="248"/>
        <item x="369"/>
        <item x="190"/>
        <item x="63"/>
        <item x="45"/>
        <item x="158"/>
        <item x="258"/>
        <item x="378"/>
        <item x="12"/>
        <item x="117"/>
        <item x="211"/>
        <item x="170"/>
        <item x="203"/>
        <item x="308"/>
        <item x="256"/>
        <item x="312"/>
        <item x="355"/>
        <item x="295"/>
        <item x="73"/>
        <item x="220"/>
        <item x="209"/>
        <item x="4"/>
        <item x="69"/>
        <item x="95"/>
        <item x="28"/>
        <item x="25"/>
        <item x="124"/>
        <item x="181"/>
        <item x="263"/>
        <item x="105"/>
        <item x="145"/>
        <item x="343"/>
        <item x="137"/>
        <item x="208"/>
        <item x="153"/>
        <item x="102"/>
        <item x="86"/>
        <item x="101"/>
        <item x="92"/>
        <item x="21"/>
        <item x="260"/>
        <item x="46"/>
        <item x="227"/>
        <item x="146"/>
        <item x="329"/>
        <item x="66"/>
        <item x="79"/>
        <item x="103"/>
        <item x="54"/>
        <item x="61"/>
        <item x="156"/>
        <item x="13"/>
        <item x="15"/>
        <item x="180"/>
        <item x="31"/>
        <item x="99"/>
        <item x="141"/>
        <item x="89"/>
        <item x="5"/>
        <item x="127"/>
        <item x="239"/>
        <item x="210"/>
        <item x="392"/>
        <item x="100"/>
        <item x="219"/>
        <item x="44"/>
        <item x="164"/>
        <item x="62"/>
        <item x="122"/>
        <item x="175"/>
        <item x="133"/>
        <item x="270"/>
        <item x="160"/>
        <item x="229"/>
        <item x="56"/>
        <item x="55"/>
        <item x="74"/>
        <item x="223"/>
        <item x="171"/>
        <item x="149"/>
        <item x="204"/>
        <item x="241"/>
        <item x="68"/>
        <item x="65"/>
        <item x="193"/>
        <item x="294"/>
        <item x="93"/>
        <item x="83"/>
        <item x="52"/>
        <item x="134"/>
        <item x="7"/>
        <item x="267"/>
        <item x="114"/>
        <item x="14"/>
        <item x="226"/>
        <item x="36"/>
        <item x="91"/>
        <item x="327"/>
        <item x="94"/>
        <item x="6"/>
        <item x="42"/>
        <item x="136"/>
        <item x="35"/>
        <item x="222"/>
        <item x="47"/>
        <item x="128"/>
        <item x="197"/>
        <item x="59"/>
        <item x="323"/>
        <item x="261"/>
        <item x="276"/>
        <item x="33"/>
        <item x="78"/>
        <item x="121"/>
        <item x="96"/>
        <item x="345"/>
        <item x="176"/>
        <item x="41"/>
        <item x="0"/>
        <item x="311"/>
        <item x="313"/>
        <item x="155"/>
        <item x="286"/>
        <item x="161"/>
        <item x="107"/>
        <item x="53"/>
        <item x="115"/>
        <item x="298"/>
        <item x="85"/>
        <item x="179"/>
        <item x="22"/>
        <item x="244"/>
        <item x="18"/>
        <item x="167"/>
        <item x="51"/>
        <item x="250"/>
        <item x="300"/>
        <item x="292"/>
        <item x="23"/>
        <item x="186"/>
        <item x="150"/>
        <item x="82"/>
        <item x="224"/>
        <item x="231"/>
        <item x="29"/>
        <item x="275"/>
        <item x="340"/>
        <item x="305"/>
        <item x="296"/>
        <item x="332"/>
        <item x="316"/>
        <item x="40"/>
        <item x="81"/>
        <item x="233"/>
        <item x="243"/>
        <item x="49"/>
        <item x="214"/>
        <item x="60"/>
        <item x="113"/>
        <item x="335"/>
        <item x="8"/>
        <item x="285"/>
        <item x="291"/>
        <item x="356"/>
        <item x="212"/>
        <item x="200"/>
        <item x="347"/>
        <item x="253"/>
        <item x="293"/>
        <item x="17"/>
        <item x="290"/>
        <item x="70"/>
        <item x="366"/>
        <item x="58"/>
        <item x="301"/>
        <item x="309"/>
        <item x="234"/>
        <item x="80"/>
        <item x="191"/>
        <item x="39"/>
        <item x="32"/>
        <item x="111"/>
        <item x="48"/>
        <item x="76"/>
        <item x="110"/>
        <item x="27"/>
        <item x="273"/>
        <item x="159"/>
        <item x="1"/>
        <item x="278"/>
        <item x="165"/>
        <item x="2"/>
        <item x="118"/>
        <item x="262"/>
        <item x="177"/>
        <item x="152"/>
        <item x="353"/>
        <item x="372"/>
        <item x="108"/>
        <item x="123"/>
        <item x="213"/>
        <item x="374"/>
        <item x="237"/>
        <item x="143"/>
        <item x="245"/>
        <item x="246"/>
        <item x="10"/>
        <item x="116"/>
        <item x="321"/>
        <item x="240"/>
        <item x="251"/>
        <item x="272"/>
        <item x="192"/>
        <item x="288"/>
        <item x="196"/>
        <item x="131"/>
        <item x="342"/>
        <item x="173"/>
        <item x="225"/>
        <item x="126"/>
        <item x="199"/>
        <item x="104"/>
        <item x="397"/>
        <item x="232"/>
        <item x="344"/>
        <item x="230"/>
        <item x="162"/>
        <item x="112"/>
        <item x="132"/>
        <item x="304"/>
        <item x="207"/>
        <item x="359"/>
        <item x="341"/>
        <item x="205"/>
        <item x="331"/>
        <item x="307"/>
        <item x="360"/>
        <item x="174"/>
        <item x="255"/>
        <item x="98"/>
        <item x="88"/>
        <item x="242"/>
        <item x="139"/>
        <item x="202"/>
        <item x="363"/>
        <item x="396"/>
        <item x="87"/>
        <item x="324"/>
        <item x="247"/>
        <item x="135"/>
        <item x="129"/>
        <item x="16"/>
        <item x="338"/>
        <item x="166"/>
        <item x="9"/>
        <item x="357"/>
        <item x="317"/>
        <item x="216"/>
        <item x="228"/>
        <item x="147"/>
        <item x="303"/>
        <item x="84"/>
        <item x="144"/>
        <item x="72"/>
        <item x="20"/>
        <item x="259"/>
        <item x="281"/>
        <item x="274"/>
        <item x="395"/>
        <item x="148"/>
        <item x="266"/>
        <item x="130"/>
        <item x="157"/>
        <item x="24"/>
        <item x="271"/>
        <item x="50"/>
        <item x="26"/>
        <item x="386"/>
        <item x="375"/>
        <item x="339"/>
        <item x="172"/>
        <item x="184"/>
        <item x="337"/>
        <item x="236"/>
        <item x="37"/>
        <item x="280"/>
        <item x="352"/>
        <item x="264"/>
        <item x="284"/>
        <item x="19"/>
        <item x="43"/>
        <item x="154"/>
        <item x="336"/>
        <item x="389"/>
        <item x="198"/>
        <item x="34"/>
        <item x="138"/>
        <item x="252"/>
        <item x="330"/>
        <item x="163"/>
        <item x="215"/>
        <item x="322"/>
        <item x="206"/>
        <item x="306"/>
        <item x="3"/>
        <item x="383"/>
        <item x="64"/>
        <item x="320"/>
        <item x="235"/>
        <item x="302"/>
        <item x="57"/>
        <item x="71"/>
        <item x="249"/>
        <item x="38"/>
        <item x="201"/>
        <item x="370"/>
        <item x="142"/>
        <item x="75"/>
        <item x="394"/>
        <item x="346"/>
        <item x="315"/>
        <item x="382"/>
        <item x="287"/>
        <item x="183"/>
        <item x="217"/>
        <item x="77"/>
        <item x="182"/>
        <item x="195"/>
        <item x="319"/>
        <item x="257"/>
        <item x="349"/>
        <item x="279"/>
        <item x="334"/>
        <item x="365"/>
        <item x="361"/>
        <item x="387"/>
        <item x="379"/>
        <item x="119"/>
        <item x="120"/>
        <item x="269"/>
        <item x="380"/>
        <item x="381"/>
        <item x="282"/>
        <item x="364"/>
        <item x="169"/>
        <item x="368"/>
        <item x="238"/>
        <item x="218"/>
        <item x="188"/>
        <item x="168"/>
        <item x="326"/>
        <item x="189"/>
        <item x="351"/>
        <item x="67"/>
        <item x="268"/>
        <item x="221"/>
        <item x="125"/>
        <item x="178"/>
        <item x="385"/>
        <item x="277"/>
        <item x="373"/>
        <item x="388"/>
        <item x="97"/>
        <item x="185"/>
        <item x="106"/>
        <item x="348"/>
        <item x="318"/>
        <item x="333"/>
        <item x="390"/>
        <item x="371"/>
        <item x="283"/>
        <item x="354"/>
        <item x="11"/>
        <item x="350"/>
        <item x="194"/>
        <item x="265"/>
        <item x="289"/>
        <item x="398"/>
        <item x="399"/>
        <item x="151"/>
        <item x="362"/>
        <item x="299"/>
        <item x="187"/>
        <item x="254"/>
        <item x="328"/>
        <item x="140"/>
        <item x="30"/>
        <item x="384"/>
        <item x="109"/>
        <item x="310"/>
        <item x="358"/>
        <item x="400"/>
        <item t="default"/>
      </items>
    </pivotField>
    <pivotField showAll="0">
      <items count="7">
        <item x="4"/>
        <item x="3"/>
        <item x="1"/>
        <item x="5"/>
        <item x="2"/>
        <item x="0"/>
        <item t="default"/>
      </items>
    </pivotField>
    <pivotField showAll="0">
      <items count="9">
        <item x="7"/>
        <item x="3"/>
        <item x="4"/>
        <item x="1"/>
        <item x="2"/>
        <item x="6"/>
        <item x="5"/>
        <item x="0"/>
        <item t="default"/>
      </items>
    </pivotField>
    <pivotField showAll="0">
      <items count="3">
        <item x="1"/>
        <item x="0"/>
        <item t="default"/>
      </items>
    </pivotField>
    <pivotField showAll="0">
      <items count="12">
        <item x="6"/>
        <item x="9"/>
        <item x="10"/>
        <item x="4"/>
        <item x="8"/>
        <item x="1"/>
        <item x="2"/>
        <item x="7"/>
        <item x="3"/>
        <item x="0"/>
        <item x="5"/>
        <item t="default"/>
      </items>
    </pivotField>
    <pivotField showAll="0">
      <items count="11">
        <item x="9"/>
        <item x="8"/>
        <item x="7"/>
        <item x="1"/>
        <item x="6"/>
        <item x="5"/>
        <item x="0"/>
        <item x="4"/>
        <item x="3"/>
        <item x="2"/>
        <item t="default"/>
      </items>
    </pivotField>
    <pivotField showAll="0">
      <items count="5">
        <item x="0"/>
        <item x="1"/>
        <item x="2"/>
        <item x="3"/>
        <item t="default"/>
      </items>
    </pivotField>
  </pivotFields>
  <rowFields count="1">
    <field x="3"/>
  </rowFields>
  <rowItems count="2">
    <i>
      <x v="2"/>
    </i>
    <i t="grand">
      <x/>
    </i>
  </rowItems>
  <colItems count="1">
    <i/>
  </colItems>
  <dataFields count="1">
    <dataField name="Sum of Fare_Amount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0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6">
    <pivotField dataField="1" showAll="0"/>
    <pivotField showAll="0">
      <items count="91">
        <item x="6"/>
        <item x="30"/>
        <item x="78"/>
        <item x="61"/>
        <item x="21"/>
        <item x="9"/>
        <item x="27"/>
        <item x="36"/>
        <item x="29"/>
        <item x="48"/>
        <item x="70"/>
        <item x="7"/>
        <item x="45"/>
        <item x="1"/>
        <item x="84"/>
        <item x="10"/>
        <item x="83"/>
        <item x="24"/>
        <item x="85"/>
        <item x="59"/>
        <item x="60"/>
        <item x="52"/>
        <item x="67"/>
        <item x="47"/>
        <item x="12"/>
        <item x="4"/>
        <item x="54"/>
        <item x="3"/>
        <item x="26"/>
        <item x="14"/>
        <item x="50"/>
        <item x="71"/>
        <item x="87"/>
        <item x="33"/>
        <item x="16"/>
        <item x="0"/>
        <item x="68"/>
        <item x="65"/>
        <item x="64"/>
        <item x="39"/>
        <item x="22"/>
        <item x="20"/>
        <item x="63"/>
        <item x="89"/>
        <item x="8"/>
        <item x="74"/>
        <item x="35"/>
        <item x="15"/>
        <item x="77"/>
        <item x="73"/>
        <item x="88"/>
        <item x="46"/>
        <item x="62"/>
        <item x="66"/>
        <item x="2"/>
        <item x="32"/>
        <item x="69"/>
        <item x="5"/>
        <item x="82"/>
        <item x="18"/>
        <item x="44"/>
        <item x="51"/>
        <item x="37"/>
        <item x="86"/>
        <item x="80"/>
        <item x="42"/>
        <item x="40"/>
        <item x="34"/>
        <item x="31"/>
        <item x="38"/>
        <item x="11"/>
        <item x="58"/>
        <item x="55"/>
        <item x="43"/>
        <item x="25"/>
        <item x="41"/>
        <item x="53"/>
        <item x="56"/>
        <item x="81"/>
        <item x="76"/>
        <item x="28"/>
        <item x="17"/>
        <item x="23"/>
        <item x="49"/>
        <item x="13"/>
        <item x="79"/>
        <item x="75"/>
        <item x="57"/>
        <item x="19"/>
        <item x="72"/>
        <item t="default"/>
      </items>
    </pivotField>
    <pivotField showAll="0">
      <items count="771">
        <item x="462"/>
        <item x="245"/>
        <item x="254"/>
        <item x="126"/>
        <item x="559"/>
        <item x="448"/>
        <item x="695"/>
        <item x="326"/>
        <item x="162"/>
        <item x="667"/>
        <item x="584"/>
        <item x="458"/>
        <item x="130"/>
        <item x="735"/>
        <item x="642"/>
        <item x="109"/>
        <item x="567"/>
        <item x="25"/>
        <item x="80"/>
        <item x="707"/>
        <item x="710"/>
        <item x="302"/>
        <item x="515"/>
        <item x="78"/>
        <item x="690"/>
        <item x="666"/>
        <item x="27"/>
        <item x="434"/>
        <item x="741"/>
        <item x="291"/>
        <item x="398"/>
        <item x="115"/>
        <item x="356"/>
        <item x="295"/>
        <item x="457"/>
        <item x="3"/>
        <item x="92"/>
        <item x="106"/>
        <item x="615"/>
        <item x="703"/>
        <item x="247"/>
        <item x="504"/>
        <item x="753"/>
        <item x="725"/>
        <item x="478"/>
        <item x="57"/>
        <item x="327"/>
        <item x="746"/>
        <item x="700"/>
        <item x="314"/>
        <item x="420"/>
        <item x="120"/>
        <item x="600"/>
        <item x="261"/>
        <item x="44"/>
        <item x="246"/>
        <item x="481"/>
        <item x="380"/>
        <item x="676"/>
        <item x="348"/>
        <item x="391"/>
        <item x="452"/>
        <item x="592"/>
        <item x="410"/>
        <item x="433"/>
        <item x="217"/>
        <item x="187"/>
        <item x="251"/>
        <item x="510"/>
        <item x="633"/>
        <item x="641"/>
        <item x="265"/>
        <item x="616"/>
        <item x="693"/>
        <item x="604"/>
        <item x="585"/>
        <item x="83"/>
        <item x="751"/>
        <item x="311"/>
        <item x="702"/>
        <item x="679"/>
        <item x="165"/>
        <item x="122"/>
        <item x="131"/>
        <item x="696"/>
        <item x="718"/>
        <item x="619"/>
        <item x="336"/>
        <item x="731"/>
        <item x="717"/>
        <item x="193"/>
        <item x="683"/>
        <item x="33"/>
        <item x="444"/>
        <item x="491"/>
        <item x="145"/>
        <item x="437"/>
        <item x="289"/>
        <item x="350"/>
        <item x="427"/>
        <item x="129"/>
        <item x="414"/>
        <item x="271"/>
        <item x="755"/>
        <item x="742"/>
        <item x="216"/>
        <item x="630"/>
        <item x="237"/>
        <item x="743"/>
        <item x="507"/>
        <item x="88"/>
        <item x="577"/>
        <item x="704"/>
        <item x="278"/>
        <item x="588"/>
        <item x="620"/>
        <item x="556"/>
        <item x="402"/>
        <item x="591"/>
        <item x="406"/>
        <item x="253"/>
        <item x="682"/>
        <item x="166"/>
        <item x="516"/>
        <item x="733"/>
        <item x="309"/>
        <item x="720"/>
        <item x="654"/>
        <item x="405"/>
        <item x="472"/>
        <item x="223"/>
        <item x="43"/>
        <item x="38"/>
        <item x="322"/>
        <item x="614"/>
        <item x="102"/>
        <item x="750"/>
        <item x="175"/>
        <item x="601"/>
        <item x="687"/>
        <item x="198"/>
        <item x="330"/>
        <item x="711"/>
        <item x="93"/>
        <item x="563"/>
        <item x="41"/>
        <item x="378"/>
        <item x="104"/>
        <item x="258"/>
        <item x="738"/>
        <item x="316"/>
        <item x="171"/>
        <item x="685"/>
        <item x="224"/>
        <item x="571"/>
        <item x="496"/>
        <item x="625"/>
        <item x="535"/>
        <item x="221"/>
        <item x="471"/>
        <item x="154"/>
        <item x="645"/>
        <item x="220"/>
        <item x="117"/>
        <item x="441"/>
        <item x="551"/>
        <item x="329"/>
        <item x="36"/>
        <item x="644"/>
        <item x="526"/>
        <item x="463"/>
        <item x="67"/>
        <item x="243"/>
        <item x="637"/>
        <item x="347"/>
        <item x="195"/>
        <item x="651"/>
        <item x="211"/>
        <item x="201"/>
        <item x="364"/>
        <item x="430"/>
        <item x="383"/>
        <item x="483"/>
        <item x="4"/>
        <item x="712"/>
        <item x="415"/>
        <item x="583"/>
        <item x="141"/>
        <item x="652"/>
        <item x="363"/>
        <item x="147"/>
        <item x="267"/>
        <item x="218"/>
        <item x="103"/>
        <item x="511"/>
        <item x="632"/>
        <item x="270"/>
        <item x="697"/>
        <item x="635"/>
        <item x="466"/>
        <item x="659"/>
        <item x="388"/>
        <item x="20"/>
        <item x="119"/>
        <item x="480"/>
        <item x="613"/>
        <item x="66"/>
        <item x="688"/>
        <item x="68"/>
        <item x="76"/>
        <item x="545"/>
        <item x="425"/>
        <item x="475"/>
        <item x="713"/>
        <item x="395"/>
        <item x="596"/>
        <item x="407"/>
        <item x="523"/>
        <item x="579"/>
        <item x="749"/>
        <item x="333"/>
        <item x="337"/>
        <item x="84"/>
        <item x="228"/>
        <item x="456"/>
        <item x="492"/>
        <item x="509"/>
        <item x="505"/>
        <item x="497"/>
        <item x="716"/>
        <item x="524"/>
        <item x="384"/>
        <item x="134"/>
        <item x="24"/>
        <item x="114"/>
        <item x="386"/>
        <item x="263"/>
        <item x="576"/>
        <item x="178"/>
        <item x="518"/>
        <item x="607"/>
        <item x="123"/>
        <item x="199"/>
        <item x="89"/>
        <item x="306"/>
        <item x="208"/>
        <item x="450"/>
        <item x="689"/>
        <item x="72"/>
        <item x="231"/>
        <item x="202"/>
        <item x="730"/>
        <item x="553"/>
        <item x="488"/>
        <item x="167"/>
        <item x="371"/>
        <item x="73"/>
        <item x="239"/>
        <item x="680"/>
        <item x="164"/>
        <item x="622"/>
        <item x="248"/>
        <item x="338"/>
        <item x="249"/>
        <item x="125"/>
        <item x="658"/>
        <item x="158"/>
        <item x="22"/>
        <item x="519"/>
        <item x="10"/>
        <item x="454"/>
        <item x="661"/>
        <item x="184"/>
        <item x="1"/>
        <item x="155"/>
        <item x="382"/>
        <item x="539"/>
        <item x="77"/>
        <item x="197"/>
        <item x="445"/>
        <item x="629"/>
        <item x="82"/>
        <item x="502"/>
        <item x="757"/>
        <item x="323"/>
        <item x="446"/>
        <item x="440"/>
        <item x="375"/>
        <item x="173"/>
        <item x="586"/>
        <item x="360"/>
        <item x="297"/>
        <item x="346"/>
        <item x="729"/>
        <item x="728"/>
        <item x="287"/>
        <item x="761"/>
        <item x="21"/>
        <item x="484"/>
        <item x="543"/>
        <item x="229"/>
        <item x="706"/>
        <item x="759"/>
        <item x="340"/>
        <item x="541"/>
        <item x="767"/>
        <item x="233"/>
        <item x="116"/>
        <item x="35"/>
        <item x="266"/>
        <item x="381"/>
        <item x="298"/>
        <item x="205"/>
        <item x="649"/>
        <item x="110"/>
        <item x="341"/>
        <item x="308"/>
        <item x="673"/>
        <item x="665"/>
        <item x="365"/>
        <item x="62"/>
        <item x="467"/>
        <item x="262"/>
        <item x="71"/>
        <item x="355"/>
        <item x="362"/>
        <item x="26"/>
        <item x="664"/>
        <item x="499"/>
        <item x="276"/>
        <item x="469"/>
        <item x="358"/>
        <item x="250"/>
        <item x="272"/>
        <item x="69"/>
        <item x="474"/>
        <item x="764"/>
        <item x="719"/>
        <item x="90"/>
        <item x="674"/>
        <item x="127"/>
        <item x="259"/>
        <item x="234"/>
        <item x="188"/>
        <item x="124"/>
        <item x="64"/>
        <item x="200"/>
        <item x="376"/>
        <item x="390"/>
        <item x="318"/>
        <item x="573"/>
        <item x="241"/>
        <item x="578"/>
        <item x="359"/>
        <item x="686"/>
        <item x="268"/>
        <item x="91"/>
        <item x="282"/>
        <item x="252"/>
        <item x="55"/>
        <item x="486"/>
        <item x="538"/>
        <item x="53"/>
        <item x="554"/>
        <item x="602"/>
        <item x="443"/>
        <item x="411"/>
        <item x="508"/>
        <item x="59"/>
        <item x="550"/>
        <item x="436"/>
        <item x="621"/>
        <item x="135"/>
        <item x="714"/>
        <item x="628"/>
        <item x="528"/>
        <item x="63"/>
        <item x="121"/>
        <item x="52"/>
        <item x="48"/>
        <item x="148"/>
        <item x="94"/>
        <item x="226"/>
        <item x="257"/>
        <item x="163"/>
        <item x="424"/>
        <item x="692"/>
        <item x="304"/>
        <item x="677"/>
        <item x="656"/>
        <item x="196"/>
        <item x="335"/>
        <item x="394"/>
        <item x="512"/>
        <item x="461"/>
        <item x="46"/>
        <item x="161"/>
        <item x="385"/>
        <item x="513"/>
        <item x="392"/>
        <item x="296"/>
        <item x="300"/>
        <item x="569"/>
        <item x="2"/>
        <item x="506"/>
        <item x="294"/>
        <item x="96"/>
        <item x="597"/>
        <item x="657"/>
        <item x="279"/>
        <item x="501"/>
        <item x="606"/>
        <item x="299"/>
        <item x="156"/>
        <item x="435"/>
        <item x="183"/>
        <item x="146"/>
        <item x="681"/>
        <item x="747"/>
        <item x="534"/>
        <item x="684"/>
        <item x="699"/>
        <item x="525"/>
        <item x="132"/>
        <item x="321"/>
        <item x="634"/>
        <item x="503"/>
        <item x="547"/>
        <item x="581"/>
        <item x="203"/>
        <item x="50"/>
        <item x="47"/>
        <item x="112"/>
        <item x="160"/>
        <item x="190"/>
        <item x="23"/>
        <item x="708"/>
        <item x="194"/>
        <item x="737"/>
        <item x="12"/>
        <item x="566"/>
        <item x="288"/>
        <item x="260"/>
        <item x="325"/>
        <item x="235"/>
        <item x="527"/>
        <item x="317"/>
        <item x="137"/>
        <item x="455"/>
        <item x="739"/>
        <item x="285"/>
        <item x="15"/>
        <item x="570"/>
        <item x="453"/>
        <item x="548"/>
        <item x="176"/>
        <item x="240"/>
        <item x="726"/>
        <item x="284"/>
        <item x="490"/>
        <item x="744"/>
        <item x="653"/>
        <item x="334"/>
        <item x="612"/>
        <item x="256"/>
        <item x="636"/>
        <item x="521"/>
        <item x="277"/>
        <item x="283"/>
        <item x="60"/>
        <item x="671"/>
        <item x="705"/>
        <item x="417"/>
        <item x="170"/>
        <item x="533"/>
        <item x="274"/>
        <item x="627"/>
        <item x="328"/>
        <item x="345"/>
        <item x="631"/>
        <item x="431"/>
        <item x="470"/>
        <item x="49"/>
        <item x="139"/>
        <item x="293"/>
        <item x="264"/>
        <item x="473"/>
        <item x="546"/>
        <item x="418"/>
        <item x="638"/>
        <item x="320"/>
        <item x="354"/>
        <item x="404"/>
        <item x="97"/>
        <item x="416"/>
        <item x="419"/>
        <item x="438"/>
        <item x="754"/>
        <item x="45"/>
        <item x="100"/>
        <item x="589"/>
        <item x="207"/>
        <item x="303"/>
        <item x="236"/>
        <item x="118"/>
        <item x="214"/>
        <item x="324"/>
        <item x="212"/>
        <item x="281"/>
        <item x="40"/>
        <item x="447"/>
        <item x="599"/>
        <item x="561"/>
        <item x="514"/>
        <item x="225"/>
        <item x="624"/>
        <item x="368"/>
        <item x="522"/>
        <item x="647"/>
        <item x="500"/>
        <item x="423"/>
        <item x="6"/>
        <item x="319"/>
        <item x="182"/>
        <item x="255"/>
        <item x="520"/>
        <item x="42"/>
        <item x="396"/>
        <item x="315"/>
        <item x="643"/>
        <item x="468"/>
        <item x="111"/>
        <item x="670"/>
        <item x="768"/>
        <item x="58"/>
        <item x="213"/>
        <item x="429"/>
        <item x="758"/>
        <item x="275"/>
        <item x="451"/>
        <item x="186"/>
        <item x="86"/>
        <item x="222"/>
        <item x="29"/>
        <item x="552"/>
        <item x="489"/>
        <item x="756"/>
        <item x="332"/>
        <item x="351"/>
        <item x="215"/>
        <item x="374"/>
        <item x="85"/>
        <item x="269"/>
        <item x="65"/>
        <item x="353"/>
        <item x="648"/>
        <item x="532"/>
        <item x="540"/>
        <item x="403"/>
        <item x="745"/>
        <item x="372"/>
        <item x="748"/>
        <item x="74"/>
        <item x="582"/>
        <item x="379"/>
        <item x="149"/>
        <item x="399"/>
        <item x="331"/>
        <item x="349"/>
        <item x="32"/>
        <item x="611"/>
        <item x="485"/>
        <item x="313"/>
        <item x="734"/>
        <item x="142"/>
        <item x="168"/>
        <item x="587"/>
        <item x="95"/>
        <item x="723"/>
        <item x="7"/>
        <item x="339"/>
        <item x="531"/>
        <item x="9"/>
        <item x="51"/>
        <item x="727"/>
        <item x="691"/>
        <item x="17"/>
        <item x="370"/>
        <item x="192"/>
        <item x="79"/>
        <item x="34"/>
        <item x="153"/>
        <item x="54"/>
        <item x="393"/>
        <item x="5"/>
        <item x="181"/>
        <item x="244"/>
        <item x="752"/>
        <item x="128"/>
        <item x="136"/>
        <item x="75"/>
        <item x="672"/>
        <item x="557"/>
        <item x="8"/>
        <item x="189"/>
        <item x="694"/>
        <item x="61"/>
        <item x="242"/>
        <item x="565"/>
        <item x="397"/>
        <item x="16"/>
        <item x="477"/>
        <item x="227"/>
        <item x="542"/>
        <item x="476"/>
        <item x="595"/>
        <item x="305"/>
        <item x="179"/>
        <item x="715"/>
        <item x="740"/>
        <item x="530"/>
        <item x="769"/>
        <item x="594"/>
        <item x="766"/>
        <item x="98"/>
        <item x="760"/>
        <item x="401"/>
        <item x="493"/>
        <item x="310"/>
        <item x="206"/>
        <item x="87"/>
        <item x="724"/>
        <item x="442"/>
        <item x="140"/>
        <item x="650"/>
        <item x="568"/>
        <item x="593"/>
        <item x="357"/>
        <item x="366"/>
        <item x="373"/>
        <item x="344"/>
        <item x="230"/>
        <item x="219"/>
        <item x="495"/>
        <item x="273"/>
        <item x="562"/>
        <item x="204"/>
        <item x="465"/>
        <item x="459"/>
        <item x="598"/>
        <item x="185"/>
        <item x="172"/>
        <item x="113"/>
        <item x="39"/>
        <item x="549"/>
        <item x="560"/>
        <item x="765"/>
        <item x="400"/>
        <item x="722"/>
        <item x="286"/>
        <item x="307"/>
        <item x="37"/>
        <item x="292"/>
        <item x="623"/>
        <item x="28"/>
        <item x="174"/>
        <item x="660"/>
        <item x="460"/>
        <item x="157"/>
        <item x="464"/>
        <item x="413"/>
        <item x="422"/>
        <item x="580"/>
        <item x="732"/>
        <item x="301"/>
        <item x="138"/>
        <item x="646"/>
        <item x="662"/>
        <item x="70"/>
        <item x="617"/>
        <item x="494"/>
        <item x="312"/>
        <item x="517"/>
        <item x="426"/>
        <item x="498"/>
        <item x="152"/>
        <item x="14"/>
        <item x="11"/>
        <item x="169"/>
        <item x="367"/>
        <item x="389"/>
        <item x="605"/>
        <item x="290"/>
        <item x="31"/>
        <item x="108"/>
        <item x="177"/>
        <item x="618"/>
        <item x="56"/>
        <item x="30"/>
        <item x="487"/>
        <item x="439"/>
        <item x="529"/>
        <item x="0"/>
        <item x="13"/>
        <item x="572"/>
        <item x="369"/>
        <item x="18"/>
        <item x="574"/>
        <item x="603"/>
        <item x="763"/>
        <item x="133"/>
        <item x="736"/>
        <item x="537"/>
        <item x="609"/>
        <item x="209"/>
        <item x="408"/>
        <item x="608"/>
        <item x="19"/>
        <item x="709"/>
        <item x="655"/>
        <item x="232"/>
        <item x="180"/>
        <item x="721"/>
        <item x="610"/>
        <item x="698"/>
        <item x="342"/>
        <item x="432"/>
        <item x="762"/>
        <item x="387"/>
        <item x="107"/>
        <item x="377"/>
        <item x="640"/>
        <item x="412"/>
        <item x="361"/>
        <item x="575"/>
        <item x="678"/>
        <item x="409"/>
        <item x="352"/>
        <item x="555"/>
        <item x="479"/>
        <item x="143"/>
        <item x="144"/>
        <item x="99"/>
        <item x="238"/>
        <item x="536"/>
        <item x="428"/>
        <item x="639"/>
        <item x="590"/>
        <item x="421"/>
        <item x="191"/>
        <item x="663"/>
        <item x="669"/>
        <item x="343"/>
        <item x="81"/>
        <item x="675"/>
        <item x="151"/>
        <item x="105"/>
        <item x="280"/>
        <item x="159"/>
        <item x="150"/>
        <item x="101"/>
        <item x="449"/>
        <item x="558"/>
        <item x="210"/>
        <item x="544"/>
        <item x="701"/>
        <item x="564"/>
        <item x="482"/>
        <item x="668"/>
        <item x="626"/>
        <item t="default"/>
      </items>
    </pivotField>
    <pivotField showAll="0">
      <items count="10">
        <item h="1" x="4"/>
        <item h="1" x="0"/>
        <item x="8"/>
        <item h="1" x="3"/>
        <item h="1" x="2"/>
        <item h="1" x="7"/>
        <item h="1" x="5"/>
        <item h="1" x="1"/>
        <item h="1" x="6"/>
        <item t="default"/>
      </items>
    </pivotField>
    <pivotField showAll="0"/>
    <pivotField showAll="0"/>
    <pivotField showAll="0"/>
    <pivotField showAll="0"/>
    <pivotField showAll="0"/>
    <pivotField showAll="0"/>
    <pivotField showAll="0"/>
    <pivotField axis="axisRow" showAll="0">
      <items count="9">
        <item x="7"/>
        <item x="3"/>
        <item x="4"/>
        <item x="1"/>
        <item x="2"/>
        <item x="6"/>
        <item x="5"/>
        <item x="0"/>
        <item t="default"/>
      </items>
    </pivotField>
    <pivotField showAll="0"/>
    <pivotField showAll="0"/>
    <pivotField showAll="0"/>
    <pivotField showAll="0" defaultSubtotal="0">
      <items count="4">
        <item x="0"/>
        <item x="1"/>
        <item x="2"/>
        <item x="3"/>
      </items>
    </pivotField>
  </pivotFields>
  <rowFields count="1">
    <field x="11"/>
  </rowFields>
  <rowItems count="9">
    <i>
      <x/>
    </i>
    <i>
      <x v="1"/>
    </i>
    <i>
      <x v="2"/>
    </i>
    <i>
      <x v="3"/>
    </i>
    <i>
      <x v="4"/>
    </i>
    <i>
      <x v="5"/>
    </i>
    <i>
      <x v="6"/>
    </i>
    <i>
      <x v="7"/>
    </i>
    <i t="grand">
      <x/>
    </i>
  </rowItems>
  <colItems count="1">
    <i/>
  </colItems>
  <dataFields count="1">
    <dataField name="Count of Trip_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DB944F6-73F5-4D4A-A010-7077C8354388}" sourceName="City">
  <pivotTables>
    <pivotTable tabId="10" name="PivotTable8"/>
    <pivotTable tabId="5" name="PivotTable3"/>
    <pivotTable tabId="2" name="PivotTable1"/>
    <pivotTable tabId="6" name="PivotTable4"/>
    <pivotTable tabId="12" name="PivotTable10"/>
    <pivotTable tabId="11" name="PivotTable9"/>
    <pivotTable tabId="8" name="PivotTable1"/>
    <pivotTable tabId="8" name="PivotTable6"/>
    <pivotTable tabId="9" name="PivotTable7"/>
    <pivotTable tabId="13" name="PivotTable11"/>
    <pivotTable tabId="14" name="PivotTable12"/>
    <pivotTable tabId="3" name="PivotTable2"/>
    <pivotTable tabId="15" name="PivotTable14"/>
    <pivotTable tabId="15" name="PivotTable15"/>
    <pivotTable tabId="15" name="PivotTable16"/>
    <pivotTable tabId="15" name="PivotTable17"/>
    <pivotTable tabId="7" name="PivotTable2"/>
  </pivotTables>
  <data>
    <tabular pivotCacheId="962608463">
      <items count="9">
        <i x="4"/>
        <i x="0"/>
        <i x="8" s="1"/>
        <i x="3"/>
        <i x="2"/>
        <i x="7"/>
        <i x="5"/>
        <i x="1"/>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B4F069C-6A81-4BB0-93D9-5B9F21749119}" cache="Slicer_City" caption="City" startItem="2" style="Slicer Style 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0AB1042-5DAC-4997-AD37-2F41466660F5}" cache="Slicer_City" caption="City" rowHeight="2222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4.xml"/><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topLeftCell="B1" zoomScale="58" zoomScaleNormal="58" workbookViewId="0">
      <selection activeCell="E36" sqref="E36"/>
    </sheetView>
  </sheetViews>
  <sheetFormatPr defaultRowHeight="14.4" x14ac:dyDescent="0.3"/>
  <cols>
    <col min="1" max="1" width="17.33203125" bestFit="1" customWidth="1"/>
    <col min="2" max="2" width="32.6640625" bestFit="1" customWidth="1"/>
    <col min="3" max="3" width="27.44140625" bestFit="1" customWidth="1"/>
    <col min="4" max="4" width="29.33203125" customWidth="1"/>
    <col min="5" max="5" width="29.5546875" customWidth="1"/>
    <col min="6" max="6" width="29.33203125" customWidth="1"/>
  </cols>
  <sheetData>
    <row r="1" spans="1:2" x14ac:dyDescent="0.3">
      <c r="A1" s="10" t="s">
        <v>0</v>
      </c>
      <c r="B1" t="s">
        <v>1</v>
      </c>
    </row>
    <row r="2" spans="1:2" x14ac:dyDescent="0.3">
      <c r="A2" s="11" t="s">
        <v>2</v>
      </c>
      <c r="B2" s="17">
        <v>26</v>
      </c>
    </row>
    <row r="3" spans="1:2" x14ac:dyDescent="0.3">
      <c r="A3" s="11" t="s">
        <v>3</v>
      </c>
      <c r="B3" s="17">
        <v>7</v>
      </c>
    </row>
    <row r="4" spans="1:2" x14ac:dyDescent="0.3">
      <c r="A4" s="11" t="s">
        <v>4</v>
      </c>
      <c r="B4" s="17">
        <v>16</v>
      </c>
    </row>
    <row r="5" spans="1:2" x14ac:dyDescent="0.3">
      <c r="A5" s="11" t="s">
        <v>5</v>
      </c>
      <c r="B5" s="17">
        <v>9</v>
      </c>
    </row>
    <row r="6" spans="1:2" x14ac:dyDescent="0.3">
      <c r="A6" s="11" t="s">
        <v>6</v>
      </c>
      <c r="B6" s="17">
        <v>33</v>
      </c>
    </row>
    <row r="7" spans="1:2" x14ac:dyDescent="0.3">
      <c r="A7" s="11" t="s">
        <v>7</v>
      </c>
      <c r="B7" s="17">
        <v>17</v>
      </c>
    </row>
    <row r="8" spans="1:2" x14ac:dyDescent="0.3">
      <c r="A8" s="11" t="s">
        <v>8</v>
      </c>
      <c r="B8" s="17">
        <v>108</v>
      </c>
    </row>
    <row r="10" spans="1:2" x14ac:dyDescent="0.3">
      <c r="A10" s="10" t="s">
        <v>0</v>
      </c>
      <c r="B10" t="s">
        <v>9</v>
      </c>
    </row>
    <row r="11" spans="1:2" x14ac:dyDescent="0.3">
      <c r="A11" s="11" t="s">
        <v>2</v>
      </c>
      <c r="B11" s="17">
        <v>106.19999999999999</v>
      </c>
    </row>
    <row r="12" spans="1:2" x14ac:dyDescent="0.3">
      <c r="A12" s="11" t="s">
        <v>3</v>
      </c>
      <c r="B12" s="17">
        <v>49.199999999999996</v>
      </c>
    </row>
    <row r="13" spans="1:2" x14ac:dyDescent="0.3">
      <c r="A13" s="11" t="s">
        <v>4</v>
      </c>
      <c r="B13" s="17">
        <v>98.399999999999991</v>
      </c>
    </row>
    <row r="14" spans="1:2" x14ac:dyDescent="0.3">
      <c r="A14" s="11" t="s">
        <v>5</v>
      </c>
      <c r="B14" s="17">
        <v>91.799999999999983</v>
      </c>
    </row>
    <row r="15" spans="1:2" x14ac:dyDescent="0.3">
      <c r="A15" s="11" t="s">
        <v>6</v>
      </c>
      <c r="B15" s="17">
        <v>246.50000000000006</v>
      </c>
    </row>
    <row r="16" spans="1:2" x14ac:dyDescent="0.3">
      <c r="A16" s="11" t="s">
        <v>7</v>
      </c>
      <c r="B16" s="17">
        <v>110</v>
      </c>
    </row>
    <row r="17" spans="1:2" x14ac:dyDescent="0.3">
      <c r="A17" s="11" t="s">
        <v>8</v>
      </c>
      <c r="B17" s="17">
        <v>702.09999999999991</v>
      </c>
    </row>
    <row r="19" spans="1:2" x14ac:dyDescent="0.3">
      <c r="A19" s="10" t="s">
        <v>0</v>
      </c>
      <c r="B19" t="s">
        <v>10</v>
      </c>
    </row>
    <row r="20" spans="1:2" x14ac:dyDescent="0.3">
      <c r="A20" s="11" t="s">
        <v>2</v>
      </c>
      <c r="B20" s="17">
        <v>2542</v>
      </c>
    </row>
    <row r="21" spans="1:2" x14ac:dyDescent="0.3">
      <c r="A21" s="11" t="s">
        <v>3</v>
      </c>
      <c r="B21" s="17">
        <v>2752</v>
      </c>
    </row>
    <row r="22" spans="1:2" x14ac:dyDescent="0.3">
      <c r="A22" s="11" t="s">
        <v>4</v>
      </c>
      <c r="B22" s="17">
        <v>3964</v>
      </c>
    </row>
    <row r="23" spans="1:2" x14ac:dyDescent="0.3">
      <c r="A23" s="11" t="s">
        <v>5</v>
      </c>
      <c r="B23" s="17">
        <v>2575</v>
      </c>
    </row>
    <row r="24" spans="1:2" x14ac:dyDescent="0.3">
      <c r="A24" s="11" t="s">
        <v>6</v>
      </c>
      <c r="B24" s="17">
        <v>6605</v>
      </c>
    </row>
    <row r="25" spans="1:2" x14ac:dyDescent="0.3">
      <c r="A25" s="11" t="s">
        <v>7</v>
      </c>
      <c r="B25" s="17">
        <v>4115</v>
      </c>
    </row>
    <row r="26" spans="1:2" x14ac:dyDescent="0.3">
      <c r="A26" s="11" t="s">
        <v>8</v>
      </c>
      <c r="B26" s="17">
        <v>22553</v>
      </c>
    </row>
    <row r="28" spans="1:2" x14ac:dyDescent="0.3">
      <c r="A28" s="10" t="s">
        <v>0</v>
      </c>
      <c r="B28" t="s">
        <v>11</v>
      </c>
    </row>
    <row r="29" spans="1:2" x14ac:dyDescent="0.3">
      <c r="A29" s="11" t="s">
        <v>2</v>
      </c>
      <c r="B29" s="17">
        <v>97.769230769230774</v>
      </c>
    </row>
    <row r="30" spans="1:2" x14ac:dyDescent="0.3">
      <c r="A30" s="11" t="s">
        <v>3</v>
      </c>
      <c r="B30" s="17">
        <v>393.14285714285717</v>
      </c>
    </row>
    <row r="31" spans="1:2" x14ac:dyDescent="0.3">
      <c r="A31" s="11" t="s">
        <v>4</v>
      </c>
      <c r="B31" s="17">
        <v>247.75</v>
      </c>
    </row>
    <row r="32" spans="1:2" x14ac:dyDescent="0.3">
      <c r="A32" s="11" t="s">
        <v>5</v>
      </c>
      <c r="B32" s="17">
        <v>286.11111111111109</v>
      </c>
    </row>
    <row r="33" spans="1:2" x14ac:dyDescent="0.3">
      <c r="A33" s="11" t="s">
        <v>6</v>
      </c>
      <c r="B33" s="17">
        <v>200.15151515151516</v>
      </c>
    </row>
    <row r="34" spans="1:2" x14ac:dyDescent="0.3">
      <c r="A34" s="11" t="s">
        <v>7</v>
      </c>
      <c r="B34" s="17">
        <v>242.05882352941177</v>
      </c>
    </row>
    <row r="35" spans="1:2" x14ac:dyDescent="0.3">
      <c r="A35" s="11" t="s">
        <v>8</v>
      </c>
      <c r="B35" s="17">
        <v>208.82407407407408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Y33"/>
  <sheetViews>
    <sheetView tabSelected="1" zoomScale="90" zoomScaleNormal="90" workbookViewId="0">
      <selection activeCell="F35" sqref="F35"/>
    </sheetView>
  </sheetViews>
  <sheetFormatPr defaultRowHeight="14.4" x14ac:dyDescent="0.3"/>
  <sheetData>
    <row r="1" spans="1:25" x14ac:dyDescent="0.3">
      <c r="A1" s="1"/>
      <c r="B1" s="2"/>
      <c r="C1" s="2"/>
      <c r="D1" s="2"/>
      <c r="E1" s="2"/>
      <c r="F1" s="2"/>
      <c r="G1" s="2"/>
      <c r="H1" s="2"/>
      <c r="I1" s="2"/>
      <c r="J1" s="2"/>
      <c r="K1" s="2"/>
      <c r="L1" s="2"/>
      <c r="M1" s="2"/>
      <c r="N1" s="2"/>
      <c r="O1" s="2"/>
      <c r="P1" s="2"/>
      <c r="Q1" s="2"/>
      <c r="R1" s="2"/>
      <c r="S1" s="2"/>
      <c r="T1" s="2"/>
      <c r="U1" s="2"/>
      <c r="V1" s="2"/>
      <c r="W1" s="3"/>
      <c r="X1" s="16"/>
      <c r="Y1" s="16"/>
    </row>
    <row r="2" spans="1:25" x14ac:dyDescent="0.3">
      <c r="A2" s="4"/>
      <c r="B2" s="5"/>
      <c r="C2" s="5"/>
      <c r="D2" s="5"/>
      <c r="E2" s="5"/>
      <c r="F2" s="5"/>
      <c r="G2" s="5"/>
      <c r="H2" s="5"/>
      <c r="I2" s="5"/>
      <c r="J2" s="5"/>
      <c r="K2" s="5"/>
      <c r="L2" s="5"/>
      <c r="M2" s="5"/>
      <c r="N2" s="5"/>
      <c r="O2" s="5"/>
      <c r="P2" s="5"/>
      <c r="Q2" s="5"/>
      <c r="R2" s="5"/>
      <c r="S2" s="5"/>
      <c r="T2" s="5"/>
      <c r="U2" s="5"/>
      <c r="V2" s="5"/>
      <c r="W2" s="6"/>
      <c r="X2" s="16"/>
      <c r="Y2" s="16"/>
    </row>
    <row r="3" spans="1:25" x14ac:dyDescent="0.3">
      <c r="A3" s="4"/>
      <c r="B3" s="5"/>
      <c r="C3" s="5"/>
      <c r="D3" s="5"/>
      <c r="E3" s="5"/>
      <c r="F3" s="5"/>
      <c r="G3" s="5"/>
      <c r="H3" s="5"/>
      <c r="I3" s="5"/>
      <c r="J3" s="5"/>
      <c r="K3" s="5"/>
      <c r="L3" s="5"/>
      <c r="M3" s="5"/>
      <c r="N3" s="5"/>
      <c r="O3" s="5"/>
      <c r="P3" s="5"/>
      <c r="Q3" s="5"/>
      <c r="R3" s="5"/>
      <c r="S3" s="5"/>
      <c r="T3" s="5"/>
      <c r="U3" s="5"/>
      <c r="V3" s="5"/>
      <c r="W3" s="6"/>
      <c r="X3" s="16"/>
      <c r="Y3" s="16"/>
    </row>
    <row r="4" spans="1:25" x14ac:dyDescent="0.3">
      <c r="A4" s="4"/>
      <c r="B4" s="5"/>
      <c r="C4" s="5"/>
      <c r="D4" s="5"/>
      <c r="E4" s="5"/>
      <c r="F4" s="5"/>
      <c r="G4" s="5"/>
      <c r="H4" s="5"/>
      <c r="I4" s="5"/>
      <c r="J4" s="5"/>
      <c r="K4" s="5"/>
      <c r="L4" s="5"/>
      <c r="M4" s="5"/>
      <c r="N4" s="5"/>
      <c r="O4" s="5"/>
      <c r="P4" s="5"/>
      <c r="Q4" s="5"/>
      <c r="R4" s="5"/>
      <c r="S4" s="5"/>
      <c r="T4" s="5"/>
      <c r="U4" s="5"/>
      <c r="V4" s="5"/>
      <c r="W4" s="6"/>
      <c r="X4" s="16"/>
      <c r="Y4" s="16"/>
    </row>
    <row r="5" spans="1:25" x14ac:dyDescent="0.3">
      <c r="A5" s="4"/>
      <c r="B5" s="5"/>
      <c r="C5" s="5"/>
      <c r="D5" s="5"/>
      <c r="E5" s="5"/>
      <c r="F5" s="5"/>
      <c r="G5" s="5"/>
      <c r="H5" s="5"/>
      <c r="I5" s="5"/>
      <c r="J5" s="5"/>
      <c r="K5" s="5"/>
      <c r="L5" s="5"/>
      <c r="M5" s="5"/>
      <c r="N5" s="5"/>
      <c r="O5" s="5"/>
      <c r="P5" s="5"/>
      <c r="Q5" s="5"/>
      <c r="R5" s="5"/>
      <c r="S5" s="5"/>
      <c r="T5" s="5"/>
      <c r="U5" s="5"/>
      <c r="V5" s="5"/>
      <c r="W5" s="6"/>
      <c r="X5" s="16"/>
      <c r="Y5" s="16"/>
    </row>
    <row r="6" spans="1:25" x14ac:dyDescent="0.3">
      <c r="A6" s="4"/>
      <c r="B6" s="5"/>
      <c r="C6" s="5"/>
      <c r="D6" s="5"/>
      <c r="E6" s="5"/>
      <c r="F6" s="5"/>
      <c r="G6" s="5"/>
      <c r="H6" s="5"/>
      <c r="I6" s="5"/>
      <c r="J6" s="5"/>
      <c r="K6" s="5"/>
      <c r="L6" s="5"/>
      <c r="M6" s="5"/>
      <c r="N6" s="5"/>
      <c r="O6" s="5"/>
      <c r="P6" s="5"/>
      <c r="Q6" s="5"/>
      <c r="R6" s="5"/>
      <c r="S6" s="5"/>
      <c r="T6" s="5"/>
      <c r="U6" s="5"/>
      <c r="V6" s="5"/>
      <c r="W6" s="6"/>
      <c r="X6" s="16"/>
      <c r="Y6" s="16"/>
    </row>
    <row r="7" spans="1:25" x14ac:dyDescent="0.3">
      <c r="A7" s="4"/>
      <c r="B7" s="5"/>
      <c r="C7" s="5"/>
      <c r="D7" s="5"/>
      <c r="E7" s="5"/>
      <c r="F7" s="5"/>
      <c r="G7" s="5"/>
      <c r="H7" s="5"/>
      <c r="I7" s="5"/>
      <c r="J7" s="5"/>
      <c r="K7" s="5"/>
      <c r="L7" s="5"/>
      <c r="M7" s="5"/>
      <c r="N7" s="5"/>
      <c r="O7" s="5"/>
      <c r="P7" s="5"/>
      <c r="Q7" s="5"/>
      <c r="R7" s="5"/>
      <c r="S7" s="5"/>
      <c r="T7" s="5"/>
      <c r="U7" s="5"/>
      <c r="V7" s="5"/>
      <c r="W7" s="6"/>
      <c r="X7" s="16"/>
      <c r="Y7" s="16"/>
    </row>
    <row r="8" spans="1:25" x14ac:dyDescent="0.3">
      <c r="A8" s="4"/>
      <c r="B8" s="5"/>
      <c r="C8" s="5"/>
      <c r="D8" s="5"/>
      <c r="E8" s="5"/>
      <c r="F8" s="5"/>
      <c r="G8" s="5"/>
      <c r="H8" s="5"/>
      <c r="I8" s="5"/>
      <c r="J8" s="5"/>
      <c r="K8" s="5"/>
      <c r="L8" s="5"/>
      <c r="M8" s="5"/>
      <c r="N8" s="5"/>
      <c r="O8" s="5"/>
      <c r="P8" s="5"/>
      <c r="Q8" s="5"/>
      <c r="R8" s="5"/>
      <c r="S8" s="5"/>
      <c r="T8" s="5"/>
      <c r="U8" s="5"/>
      <c r="V8" s="5"/>
      <c r="W8" s="6"/>
      <c r="X8" s="16"/>
      <c r="Y8" s="16"/>
    </row>
    <row r="9" spans="1:25" x14ac:dyDescent="0.3">
      <c r="A9" s="4"/>
      <c r="B9" s="5"/>
      <c r="C9" s="5"/>
      <c r="D9" s="5"/>
      <c r="E9" s="5"/>
      <c r="F9" s="5"/>
      <c r="G9" s="5"/>
      <c r="H9" s="5"/>
      <c r="I9" s="5"/>
      <c r="J9" s="5"/>
      <c r="K9" s="5"/>
      <c r="L9" s="5"/>
      <c r="M9" s="5"/>
      <c r="N9" s="5"/>
      <c r="O9" s="5"/>
      <c r="P9" s="5"/>
      <c r="Q9" s="5"/>
      <c r="R9" s="5"/>
      <c r="S9" s="5"/>
      <c r="T9" s="5"/>
      <c r="U9" s="5"/>
      <c r="V9" s="5"/>
      <c r="W9" s="6"/>
      <c r="X9" s="16"/>
      <c r="Y9" s="16"/>
    </row>
    <row r="10" spans="1:25" x14ac:dyDescent="0.3">
      <c r="A10" s="4"/>
      <c r="B10" s="5"/>
      <c r="C10" s="5"/>
      <c r="D10" s="5"/>
      <c r="E10" s="5"/>
      <c r="F10" s="5"/>
      <c r="G10" s="5"/>
      <c r="H10" s="5"/>
      <c r="I10" s="5"/>
      <c r="J10" s="5"/>
      <c r="K10" s="5"/>
      <c r="L10" s="5"/>
      <c r="M10" s="5"/>
      <c r="N10" s="5"/>
      <c r="O10" s="5"/>
      <c r="P10" s="5"/>
      <c r="Q10" s="5"/>
      <c r="R10" s="5"/>
      <c r="S10" s="5"/>
      <c r="T10" s="5"/>
      <c r="U10" s="5"/>
      <c r="V10" s="5"/>
      <c r="W10" s="6"/>
      <c r="X10" s="16"/>
      <c r="Y10" s="16"/>
    </row>
    <row r="11" spans="1:25" x14ac:dyDescent="0.3">
      <c r="A11" s="4"/>
      <c r="B11" s="5"/>
      <c r="C11" s="5"/>
      <c r="D11" s="5"/>
      <c r="E11" s="5"/>
      <c r="F11" s="5"/>
      <c r="G11" s="5"/>
      <c r="H11" s="5"/>
      <c r="I11" s="5"/>
      <c r="J11" s="5"/>
      <c r="K11" s="5"/>
      <c r="L11" s="5"/>
      <c r="M11" s="5"/>
      <c r="N11" s="5"/>
      <c r="O11" s="5"/>
      <c r="P11" s="5"/>
      <c r="Q11" s="5"/>
      <c r="R11" s="5"/>
      <c r="S11" s="5"/>
      <c r="T11" s="5"/>
      <c r="U11" s="5"/>
      <c r="V11" s="5"/>
      <c r="W11" s="6"/>
      <c r="X11" s="16"/>
      <c r="Y11" s="16"/>
    </row>
    <row r="12" spans="1:25" x14ac:dyDescent="0.3">
      <c r="A12" s="4"/>
      <c r="B12" s="5"/>
      <c r="C12" s="5"/>
      <c r="D12" s="5"/>
      <c r="E12" s="5"/>
      <c r="F12" s="5"/>
      <c r="G12" s="5"/>
      <c r="H12" s="5"/>
      <c r="I12" s="5"/>
      <c r="J12" s="5"/>
      <c r="K12" s="5"/>
      <c r="L12" s="5"/>
      <c r="M12" s="5"/>
      <c r="N12" s="5"/>
      <c r="O12" s="5"/>
      <c r="P12" s="5"/>
      <c r="Q12" s="5"/>
      <c r="R12" s="5"/>
      <c r="S12" s="5"/>
      <c r="T12" s="5"/>
      <c r="U12" s="5"/>
      <c r="V12" s="5"/>
      <c r="W12" s="6"/>
      <c r="X12" s="16"/>
      <c r="Y12" s="16"/>
    </row>
    <row r="13" spans="1:25" x14ac:dyDescent="0.3">
      <c r="A13" s="4"/>
      <c r="B13" s="5"/>
      <c r="C13" s="5"/>
      <c r="D13" s="5"/>
      <c r="E13" s="5"/>
      <c r="F13" s="5"/>
      <c r="G13" s="5"/>
      <c r="H13" s="5"/>
      <c r="I13" s="5"/>
      <c r="J13" s="5"/>
      <c r="K13" s="5"/>
      <c r="L13" s="5"/>
      <c r="M13" s="5"/>
      <c r="N13" s="5"/>
      <c r="O13" s="5"/>
      <c r="P13" s="5"/>
      <c r="Q13" s="5"/>
      <c r="R13" s="5"/>
      <c r="S13" s="5"/>
      <c r="T13" s="5"/>
      <c r="U13" s="5"/>
      <c r="V13" s="5"/>
      <c r="W13" s="6"/>
      <c r="X13" s="16"/>
      <c r="Y13" s="16"/>
    </row>
    <row r="14" spans="1:25" x14ac:dyDescent="0.3">
      <c r="A14" s="4"/>
      <c r="B14" s="5"/>
      <c r="C14" s="5"/>
      <c r="D14" s="5"/>
      <c r="E14" s="5"/>
      <c r="F14" s="5"/>
      <c r="G14" s="5"/>
      <c r="H14" s="5"/>
      <c r="I14" s="5"/>
      <c r="J14" s="5"/>
      <c r="K14" s="5"/>
      <c r="L14" s="5"/>
      <c r="M14" s="5"/>
      <c r="N14" s="5"/>
      <c r="O14" s="5"/>
      <c r="P14" s="5"/>
      <c r="Q14" s="5"/>
      <c r="R14" s="5"/>
      <c r="S14" s="5"/>
      <c r="T14" s="5"/>
      <c r="U14" s="5"/>
      <c r="V14" s="5"/>
      <c r="W14" s="6"/>
      <c r="X14" s="16"/>
      <c r="Y14" s="16"/>
    </row>
    <row r="15" spans="1:25" x14ac:dyDescent="0.3">
      <c r="A15" s="4"/>
      <c r="B15" s="5"/>
      <c r="C15" s="5"/>
      <c r="D15" s="5"/>
      <c r="E15" s="5"/>
      <c r="F15" s="5"/>
      <c r="G15" s="5"/>
      <c r="H15" s="5"/>
      <c r="I15" s="5"/>
      <c r="J15" s="5"/>
      <c r="K15" s="5"/>
      <c r="L15" s="5"/>
      <c r="M15" s="5"/>
      <c r="N15" s="5"/>
      <c r="O15" s="5"/>
      <c r="P15" s="5"/>
      <c r="Q15" s="5"/>
      <c r="R15" s="5"/>
      <c r="S15" s="5"/>
      <c r="T15" s="5"/>
      <c r="U15" s="5"/>
      <c r="V15" s="5"/>
      <c r="W15" s="6"/>
      <c r="X15" s="16"/>
      <c r="Y15" s="16"/>
    </row>
    <row r="16" spans="1:25" x14ac:dyDescent="0.3">
      <c r="A16" s="4"/>
      <c r="B16" s="5"/>
      <c r="C16" s="5"/>
      <c r="D16" s="5"/>
      <c r="E16" s="5"/>
      <c r="F16" s="5"/>
      <c r="G16" s="5"/>
      <c r="H16" s="5"/>
      <c r="I16" s="5"/>
      <c r="J16" s="5"/>
      <c r="K16" s="5"/>
      <c r="L16" s="5"/>
      <c r="M16" s="5"/>
      <c r="N16" s="5"/>
      <c r="O16" s="5"/>
      <c r="P16" s="5"/>
      <c r="Q16" s="5"/>
      <c r="R16" s="5"/>
      <c r="S16" s="5"/>
      <c r="T16" s="5"/>
      <c r="U16" s="5"/>
      <c r="V16" s="5"/>
      <c r="W16" s="6"/>
      <c r="X16" s="16"/>
      <c r="Y16" s="16"/>
    </row>
    <row r="17" spans="1:25" x14ac:dyDescent="0.3">
      <c r="A17" s="4"/>
      <c r="B17" s="5"/>
      <c r="C17" s="5"/>
      <c r="D17" s="5"/>
      <c r="E17" s="5"/>
      <c r="F17" s="5"/>
      <c r="G17" s="5"/>
      <c r="H17" s="5"/>
      <c r="I17" s="5"/>
      <c r="J17" s="5"/>
      <c r="K17" s="5"/>
      <c r="L17" s="5"/>
      <c r="M17" s="5"/>
      <c r="N17" s="5"/>
      <c r="O17" s="5"/>
      <c r="P17" s="5"/>
      <c r="Q17" s="5"/>
      <c r="R17" s="5"/>
      <c r="S17" s="5"/>
      <c r="T17" s="5"/>
      <c r="U17" s="5"/>
      <c r="V17" s="5"/>
      <c r="W17" s="6"/>
      <c r="X17" s="16"/>
      <c r="Y17" s="16"/>
    </row>
    <row r="18" spans="1:25" x14ac:dyDescent="0.3">
      <c r="A18" s="4"/>
      <c r="B18" s="5"/>
      <c r="C18" s="5"/>
      <c r="D18" s="5"/>
      <c r="E18" s="5"/>
      <c r="F18" s="5"/>
      <c r="G18" s="5"/>
      <c r="H18" s="5"/>
      <c r="I18" s="5"/>
      <c r="J18" s="5"/>
      <c r="K18" s="5"/>
      <c r="L18" s="5"/>
      <c r="M18" s="5"/>
      <c r="N18" s="5"/>
      <c r="O18" s="5"/>
      <c r="P18" s="5"/>
      <c r="Q18" s="5"/>
      <c r="R18" s="5"/>
      <c r="S18" s="5"/>
      <c r="T18" s="5"/>
      <c r="U18" s="5"/>
      <c r="V18" s="5"/>
      <c r="W18" s="6"/>
      <c r="X18" s="16"/>
      <c r="Y18" s="16"/>
    </row>
    <row r="19" spans="1:25" x14ac:dyDescent="0.3">
      <c r="A19" s="4"/>
      <c r="B19" s="5"/>
      <c r="C19" s="5"/>
      <c r="D19" s="5"/>
      <c r="E19" s="5"/>
      <c r="F19" s="5"/>
      <c r="G19" s="5"/>
      <c r="H19" s="5"/>
      <c r="I19" s="5"/>
      <c r="J19" s="5"/>
      <c r="K19" s="5"/>
      <c r="L19" s="5"/>
      <c r="M19" s="5"/>
      <c r="N19" s="5"/>
      <c r="O19" s="5"/>
      <c r="P19" s="5"/>
      <c r="Q19" s="5"/>
      <c r="R19" s="5"/>
      <c r="S19" s="5"/>
      <c r="T19" s="5"/>
      <c r="U19" s="5"/>
      <c r="V19" s="5"/>
      <c r="W19" s="6"/>
      <c r="X19" s="16"/>
      <c r="Y19" s="16"/>
    </row>
    <row r="20" spans="1:25" x14ac:dyDescent="0.3">
      <c r="A20" s="4"/>
      <c r="B20" s="5"/>
      <c r="C20" s="5"/>
      <c r="D20" s="5"/>
      <c r="E20" s="5"/>
      <c r="F20" s="5"/>
      <c r="G20" s="5"/>
      <c r="H20" s="5"/>
      <c r="I20" s="5"/>
      <c r="J20" s="5"/>
      <c r="K20" s="5"/>
      <c r="L20" s="5"/>
      <c r="M20" s="5"/>
      <c r="N20" s="5"/>
      <c r="O20" s="5"/>
      <c r="P20" s="5"/>
      <c r="Q20" s="5"/>
      <c r="R20" s="5"/>
      <c r="S20" s="5"/>
      <c r="T20" s="5"/>
      <c r="U20" s="5"/>
      <c r="V20" s="5"/>
      <c r="W20" s="6"/>
      <c r="X20" s="16"/>
      <c r="Y20" s="16"/>
    </row>
    <row r="21" spans="1:25" x14ac:dyDescent="0.3">
      <c r="A21" s="4"/>
      <c r="B21" s="5"/>
      <c r="C21" s="5"/>
      <c r="D21" s="5"/>
      <c r="E21" s="5"/>
      <c r="F21" s="5"/>
      <c r="G21" s="5"/>
      <c r="H21" s="5"/>
      <c r="I21" s="5"/>
      <c r="J21" s="5"/>
      <c r="K21" s="5"/>
      <c r="L21" s="5"/>
      <c r="M21" s="5"/>
      <c r="N21" s="5"/>
      <c r="O21" s="5"/>
      <c r="P21" s="5"/>
      <c r="Q21" s="5"/>
      <c r="R21" s="5"/>
      <c r="S21" s="5"/>
      <c r="T21" s="5"/>
      <c r="U21" s="5"/>
      <c r="V21" s="5"/>
      <c r="W21" s="6"/>
      <c r="X21" s="16"/>
      <c r="Y21" s="16"/>
    </row>
    <row r="22" spans="1:25" x14ac:dyDescent="0.3">
      <c r="A22" s="4"/>
      <c r="B22" s="5"/>
      <c r="C22" s="5"/>
      <c r="D22" s="5"/>
      <c r="E22" s="5"/>
      <c r="F22" s="5"/>
      <c r="G22" s="5"/>
      <c r="H22" s="5"/>
      <c r="I22" s="5"/>
      <c r="J22" s="5"/>
      <c r="K22" s="5"/>
      <c r="L22" s="5"/>
      <c r="M22" s="5"/>
      <c r="N22" s="5"/>
      <c r="O22" s="5"/>
      <c r="P22" s="5"/>
      <c r="Q22" s="5"/>
      <c r="R22" s="5"/>
      <c r="S22" s="5"/>
      <c r="T22" s="5"/>
      <c r="U22" s="5"/>
      <c r="V22" s="5"/>
      <c r="W22" s="6"/>
      <c r="X22" s="16"/>
      <c r="Y22" s="16"/>
    </row>
    <row r="23" spans="1:25" x14ac:dyDescent="0.3">
      <c r="A23" s="4"/>
      <c r="B23" s="5"/>
      <c r="C23" s="5"/>
      <c r="D23" s="5"/>
      <c r="E23" s="5"/>
      <c r="F23" s="5"/>
      <c r="G23" s="5"/>
      <c r="H23" s="5"/>
      <c r="I23" s="5"/>
      <c r="J23" s="5"/>
      <c r="K23" s="5"/>
      <c r="L23" s="5"/>
      <c r="M23" s="5"/>
      <c r="N23" s="5"/>
      <c r="O23" s="5"/>
      <c r="P23" s="5"/>
      <c r="Q23" s="5"/>
      <c r="R23" s="5"/>
      <c r="S23" s="5"/>
      <c r="T23" s="5"/>
      <c r="U23" s="5"/>
      <c r="V23" s="5"/>
      <c r="W23" s="6"/>
      <c r="X23" s="16"/>
      <c r="Y23" s="16"/>
    </row>
    <row r="24" spans="1:25" x14ac:dyDescent="0.3">
      <c r="A24" s="4"/>
      <c r="B24" s="5"/>
      <c r="C24" s="5"/>
      <c r="D24" s="5"/>
      <c r="E24" s="5"/>
      <c r="F24" s="5"/>
      <c r="G24" s="5"/>
      <c r="H24" s="5"/>
      <c r="I24" s="5"/>
      <c r="J24" s="5"/>
      <c r="K24" s="5"/>
      <c r="L24" s="5"/>
      <c r="M24" s="5"/>
      <c r="N24" s="5"/>
      <c r="O24" s="5"/>
      <c r="P24" s="5"/>
      <c r="Q24" s="5"/>
      <c r="R24" s="5"/>
      <c r="S24" s="5"/>
      <c r="T24" s="5"/>
      <c r="U24" s="5"/>
      <c r="V24" s="5"/>
      <c r="W24" s="6"/>
      <c r="X24" s="16"/>
      <c r="Y24" s="16"/>
    </row>
    <row r="25" spans="1:25" x14ac:dyDescent="0.3">
      <c r="A25" s="4"/>
      <c r="B25" s="5"/>
      <c r="C25" s="5"/>
      <c r="D25" s="5"/>
      <c r="E25" s="5"/>
      <c r="F25" s="5"/>
      <c r="G25" s="5"/>
      <c r="H25" s="5"/>
      <c r="I25" s="5"/>
      <c r="J25" s="5"/>
      <c r="K25" s="5"/>
      <c r="L25" s="5"/>
      <c r="M25" s="5"/>
      <c r="N25" s="5"/>
      <c r="O25" s="5"/>
      <c r="P25" s="5"/>
      <c r="Q25" s="5"/>
      <c r="R25" s="5"/>
      <c r="S25" s="5"/>
      <c r="T25" s="5"/>
      <c r="U25" s="5"/>
      <c r="V25" s="5"/>
      <c r="W25" s="6"/>
      <c r="X25" s="16"/>
      <c r="Y25" s="16"/>
    </row>
    <row r="26" spans="1:25" x14ac:dyDescent="0.3">
      <c r="A26" s="4"/>
      <c r="B26" s="5"/>
      <c r="C26" s="5"/>
      <c r="D26" s="5"/>
      <c r="E26" s="5"/>
      <c r="F26" s="5"/>
      <c r="G26" s="5"/>
      <c r="H26" s="5"/>
      <c r="I26" s="5"/>
      <c r="J26" s="5"/>
      <c r="K26" s="5"/>
      <c r="L26" s="5"/>
      <c r="M26" s="5"/>
      <c r="N26" s="5"/>
      <c r="O26" s="5"/>
      <c r="P26" s="5"/>
      <c r="Q26" s="5"/>
      <c r="R26" s="5"/>
      <c r="S26" s="5"/>
      <c r="T26" s="5"/>
      <c r="U26" s="5"/>
      <c r="V26" s="5"/>
      <c r="W26" s="6"/>
      <c r="X26" s="16"/>
      <c r="Y26" s="16"/>
    </row>
    <row r="27" spans="1:25" x14ac:dyDescent="0.3">
      <c r="A27" s="4"/>
      <c r="B27" s="5"/>
      <c r="C27" s="5"/>
      <c r="D27" s="5"/>
      <c r="E27" s="5"/>
      <c r="F27" s="5"/>
      <c r="G27" s="5"/>
      <c r="H27" s="5"/>
      <c r="I27" s="5"/>
      <c r="J27" s="5"/>
      <c r="K27" s="5"/>
      <c r="L27" s="5"/>
      <c r="M27" s="5"/>
      <c r="N27" s="5"/>
      <c r="O27" s="5"/>
      <c r="P27" s="5"/>
      <c r="Q27" s="5"/>
      <c r="R27" s="5"/>
      <c r="S27" s="5"/>
      <c r="T27" s="5"/>
      <c r="U27" s="5"/>
      <c r="V27" s="5"/>
      <c r="W27" s="6"/>
      <c r="X27" s="16"/>
      <c r="Y27" s="16"/>
    </row>
    <row r="28" spans="1:25" x14ac:dyDescent="0.3">
      <c r="A28" s="4"/>
      <c r="B28" s="5"/>
      <c r="C28" s="5"/>
      <c r="D28" s="5"/>
      <c r="E28" s="5"/>
      <c r="F28" s="5"/>
      <c r="G28" s="5"/>
      <c r="H28" s="5"/>
      <c r="I28" s="5"/>
      <c r="J28" s="5"/>
      <c r="K28" s="5"/>
      <c r="L28" s="5"/>
      <c r="M28" s="5"/>
      <c r="N28" s="5"/>
      <c r="O28" s="5"/>
      <c r="P28" s="5"/>
      <c r="Q28" s="5"/>
      <c r="R28" s="5"/>
      <c r="S28" s="5"/>
      <c r="T28" s="5"/>
      <c r="U28" s="5"/>
      <c r="V28" s="5"/>
      <c r="W28" s="6"/>
      <c r="X28" s="16"/>
      <c r="Y28" s="16"/>
    </row>
    <row r="29" spans="1:25" x14ac:dyDescent="0.3">
      <c r="A29" s="4"/>
      <c r="B29" s="5"/>
      <c r="C29" s="5"/>
      <c r="D29" s="5"/>
      <c r="E29" s="5"/>
      <c r="F29" s="5"/>
      <c r="G29" s="5"/>
      <c r="H29" s="5"/>
      <c r="I29" s="5"/>
      <c r="J29" s="5"/>
      <c r="K29" s="5"/>
      <c r="L29" s="5"/>
      <c r="M29" s="5"/>
      <c r="N29" s="5"/>
      <c r="O29" s="5"/>
      <c r="P29" s="5"/>
      <c r="Q29" s="5"/>
      <c r="R29" s="5"/>
      <c r="S29" s="5"/>
      <c r="T29" s="5"/>
      <c r="U29" s="5"/>
      <c r="V29" s="5"/>
      <c r="W29" s="6"/>
      <c r="X29" s="16"/>
      <c r="Y29" s="16"/>
    </row>
    <row r="30" spans="1:25" x14ac:dyDescent="0.3">
      <c r="A30" s="4"/>
      <c r="B30" s="5"/>
      <c r="C30" s="5"/>
      <c r="D30" s="5"/>
      <c r="E30" s="5"/>
      <c r="F30" s="5"/>
      <c r="G30" s="5"/>
      <c r="H30" s="5"/>
      <c r="I30" s="5"/>
      <c r="J30" s="5"/>
      <c r="K30" s="5"/>
      <c r="L30" s="5"/>
      <c r="M30" s="5"/>
      <c r="N30" s="5"/>
      <c r="O30" s="5"/>
      <c r="P30" s="5"/>
      <c r="Q30" s="5"/>
      <c r="R30" s="5"/>
      <c r="S30" s="5"/>
      <c r="T30" s="5"/>
      <c r="U30" s="5"/>
      <c r="V30" s="5"/>
      <c r="W30" s="6"/>
      <c r="X30" s="16"/>
      <c r="Y30" s="16"/>
    </row>
    <row r="31" spans="1:25" x14ac:dyDescent="0.3">
      <c r="A31" s="7"/>
      <c r="B31" s="8"/>
      <c r="C31" s="8"/>
      <c r="D31" s="8"/>
      <c r="E31" s="8"/>
      <c r="F31" s="8"/>
      <c r="G31" s="8"/>
      <c r="H31" s="8"/>
      <c r="I31" s="8"/>
      <c r="J31" s="8"/>
      <c r="K31" s="8"/>
      <c r="L31" s="8"/>
      <c r="M31" s="8"/>
      <c r="N31" s="8"/>
      <c r="O31" s="8"/>
      <c r="P31" s="8"/>
      <c r="Q31" s="8"/>
      <c r="R31" s="8"/>
      <c r="S31" s="8"/>
      <c r="T31" s="8"/>
      <c r="U31" s="8"/>
      <c r="V31" s="8"/>
      <c r="W31" s="9"/>
      <c r="X31" s="16"/>
      <c r="Y31" s="16"/>
    </row>
    <row r="32" spans="1:25"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spans="1:2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sheetData>
  <pageMargins left="0.7" right="0.7" top="0.75" bottom="0.75" header="0.3" footer="0.3"/>
  <drawing r:id="rId1"/>
  <webPublishItems count="1">
    <webPublishItem id="4647" divId="FInal Dashboard_4647" sourceType="sheet" destinationFile="C:\Users\faith\Desktop\FInal Dashboard1.htm"/>
  </webPublishItems>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01"/>
  <sheetViews>
    <sheetView workbookViewId="0">
      <selection activeCell="E21" sqref="A1:O1201"/>
    </sheetView>
  </sheetViews>
  <sheetFormatPr defaultRowHeight="14.4" x14ac:dyDescent="0.3"/>
  <cols>
    <col min="1" max="1" width="12.33203125" bestFit="1" customWidth="1"/>
    <col min="2" max="2" width="10.33203125" bestFit="1" customWidth="1"/>
    <col min="3" max="3" width="5.5546875" bestFit="1" customWidth="1"/>
    <col min="4" max="4" width="10.6640625" bestFit="1" customWidth="1"/>
    <col min="5" max="6" width="17.5546875" bestFit="1" customWidth="1"/>
    <col min="7" max="7" width="12.33203125" bestFit="1" customWidth="1"/>
    <col min="8" max="8" width="11.6640625" bestFit="1" customWidth="1"/>
    <col min="9" max="9" width="16.88671875" bestFit="1" customWidth="1"/>
    <col min="10" max="10" width="16.5546875" bestFit="1" customWidth="1"/>
    <col min="11" max="11" width="16.44140625" bestFit="1" customWidth="1"/>
    <col min="12" max="12" width="10.6640625" bestFit="1" customWidth="1"/>
    <col min="13" max="13" width="5.33203125" bestFit="1" customWidth="1"/>
    <col min="14" max="14" width="12.33203125" bestFit="1" customWidth="1"/>
    <col min="15" max="15" width="15.88671875" bestFit="1" customWidth="1"/>
  </cols>
  <sheetData>
    <row r="1" spans="1:15" x14ac:dyDescent="0.3">
      <c r="A1" t="s">
        <v>12</v>
      </c>
      <c r="B1" t="s">
        <v>13</v>
      </c>
      <c r="C1" t="s">
        <v>14</v>
      </c>
      <c r="D1" t="s">
        <v>15</v>
      </c>
      <c r="E1" t="s">
        <v>16</v>
      </c>
      <c r="F1" t="s">
        <v>17</v>
      </c>
      <c r="G1" t="s">
        <v>18</v>
      </c>
      <c r="H1" t="s">
        <v>19</v>
      </c>
      <c r="I1" t="s">
        <v>20</v>
      </c>
      <c r="J1" t="s">
        <v>21</v>
      </c>
      <c r="K1" t="s">
        <v>22</v>
      </c>
      <c r="L1" t="s">
        <v>23</v>
      </c>
      <c r="M1" t="s">
        <v>24</v>
      </c>
      <c r="N1" t="s">
        <v>25</v>
      </c>
      <c r="O1" t="s">
        <v>26</v>
      </c>
    </row>
    <row r="2" spans="1:15" x14ac:dyDescent="0.3">
      <c r="A2" t="s">
        <v>27</v>
      </c>
      <c r="B2" t="s">
        <v>28</v>
      </c>
      <c r="C2" t="s">
        <v>29</v>
      </c>
      <c r="D2" t="s">
        <v>30</v>
      </c>
      <c r="E2" t="s">
        <v>31</v>
      </c>
      <c r="F2" t="s">
        <v>32</v>
      </c>
      <c r="G2" t="s">
        <v>4</v>
      </c>
      <c r="H2">
        <v>2.5</v>
      </c>
      <c r="I2">
        <v>13</v>
      </c>
      <c r="J2">
        <v>172</v>
      </c>
      <c r="K2" t="s">
        <v>33</v>
      </c>
      <c r="L2" t="s">
        <v>34</v>
      </c>
      <c r="M2" t="s">
        <v>35</v>
      </c>
      <c r="N2">
        <v>4.9000000000000004</v>
      </c>
      <c r="O2">
        <v>4.7</v>
      </c>
    </row>
    <row r="3" spans="1:15" x14ac:dyDescent="0.3">
      <c r="A3" t="s">
        <v>36</v>
      </c>
      <c r="B3" t="s">
        <v>37</v>
      </c>
      <c r="C3" t="s">
        <v>38</v>
      </c>
      <c r="D3" t="s">
        <v>39</v>
      </c>
      <c r="E3" t="s">
        <v>40</v>
      </c>
      <c r="F3" t="s">
        <v>41</v>
      </c>
      <c r="G3" t="s">
        <v>6</v>
      </c>
      <c r="H3">
        <v>9.5</v>
      </c>
      <c r="I3">
        <v>27</v>
      </c>
      <c r="J3">
        <v>243</v>
      </c>
      <c r="K3" t="s">
        <v>42</v>
      </c>
      <c r="L3" t="s">
        <v>43</v>
      </c>
      <c r="M3" t="s">
        <v>44</v>
      </c>
      <c r="N3">
        <v>4.5</v>
      </c>
      <c r="O3">
        <v>4.4000000000000004</v>
      </c>
    </row>
    <row r="4" spans="1:15" x14ac:dyDescent="0.3">
      <c r="A4" t="s">
        <v>45</v>
      </c>
      <c r="B4" t="s">
        <v>46</v>
      </c>
      <c r="C4" t="s">
        <v>47</v>
      </c>
      <c r="D4" t="s">
        <v>39</v>
      </c>
      <c r="E4" t="s">
        <v>41</v>
      </c>
      <c r="F4" t="s">
        <v>48</v>
      </c>
      <c r="G4" t="s">
        <v>7</v>
      </c>
      <c r="H4">
        <v>7.1</v>
      </c>
      <c r="I4">
        <v>24</v>
      </c>
      <c r="J4">
        <v>247</v>
      </c>
      <c r="K4" t="s">
        <v>33</v>
      </c>
      <c r="L4" t="s">
        <v>49</v>
      </c>
      <c r="M4" t="s">
        <v>44</v>
      </c>
      <c r="N4">
        <v>4.5999999999999996</v>
      </c>
      <c r="O4">
        <v>4.7</v>
      </c>
    </row>
    <row r="5" spans="1:15" x14ac:dyDescent="0.3">
      <c r="A5" t="s">
        <v>50</v>
      </c>
      <c r="B5" t="s">
        <v>51</v>
      </c>
      <c r="C5" t="s">
        <v>52</v>
      </c>
      <c r="D5" t="s">
        <v>53</v>
      </c>
      <c r="E5" t="s">
        <v>54</v>
      </c>
      <c r="F5" t="s">
        <v>55</v>
      </c>
      <c r="G5" t="s">
        <v>5</v>
      </c>
      <c r="H5">
        <v>20</v>
      </c>
      <c r="I5">
        <v>45</v>
      </c>
      <c r="J5">
        <v>401</v>
      </c>
      <c r="K5" t="s">
        <v>56</v>
      </c>
      <c r="L5" t="s">
        <v>57</v>
      </c>
      <c r="M5" t="s">
        <v>35</v>
      </c>
      <c r="N5">
        <v>4.8</v>
      </c>
      <c r="O5">
        <v>5</v>
      </c>
    </row>
    <row r="6" spans="1:15" x14ac:dyDescent="0.3">
      <c r="A6" t="s">
        <v>58</v>
      </c>
      <c r="B6" t="s">
        <v>59</v>
      </c>
      <c r="C6" t="s">
        <v>60</v>
      </c>
      <c r="D6" t="s">
        <v>61</v>
      </c>
      <c r="E6" t="s">
        <v>62</v>
      </c>
      <c r="F6" t="s">
        <v>63</v>
      </c>
      <c r="G6" t="s">
        <v>2</v>
      </c>
      <c r="H6">
        <v>1.7</v>
      </c>
      <c r="I6">
        <v>5</v>
      </c>
      <c r="J6">
        <v>72</v>
      </c>
      <c r="K6" t="s">
        <v>33</v>
      </c>
      <c r="L6" t="s">
        <v>64</v>
      </c>
      <c r="M6" t="s">
        <v>44</v>
      </c>
      <c r="N6">
        <v>4.3</v>
      </c>
      <c r="O6">
        <v>4.9000000000000004</v>
      </c>
    </row>
    <row r="7" spans="1:15" x14ac:dyDescent="0.3">
      <c r="A7" t="s">
        <v>65</v>
      </c>
      <c r="B7" t="s">
        <v>66</v>
      </c>
      <c r="C7" t="s">
        <v>67</v>
      </c>
      <c r="D7" t="s">
        <v>68</v>
      </c>
      <c r="E7" t="s">
        <v>69</v>
      </c>
      <c r="F7" t="s">
        <v>70</v>
      </c>
      <c r="G7" t="s">
        <v>2</v>
      </c>
      <c r="H7">
        <v>3</v>
      </c>
      <c r="I7">
        <v>12</v>
      </c>
      <c r="J7">
        <v>111</v>
      </c>
      <c r="K7" t="s">
        <v>33</v>
      </c>
      <c r="L7" t="s">
        <v>71</v>
      </c>
      <c r="M7" t="s">
        <v>44</v>
      </c>
      <c r="N7">
        <v>4.5999999999999996</v>
      </c>
      <c r="O7">
        <v>4.7</v>
      </c>
    </row>
    <row r="8" spans="1:15" x14ac:dyDescent="0.3">
      <c r="A8" t="s">
        <v>72</v>
      </c>
      <c r="B8" t="s">
        <v>73</v>
      </c>
      <c r="C8" t="s">
        <v>74</v>
      </c>
      <c r="D8" t="s">
        <v>75</v>
      </c>
      <c r="E8" t="s">
        <v>76</v>
      </c>
      <c r="F8" t="s">
        <v>77</v>
      </c>
      <c r="G8" t="s">
        <v>6</v>
      </c>
      <c r="H8">
        <v>5.7</v>
      </c>
      <c r="I8">
        <v>14</v>
      </c>
      <c r="J8">
        <v>153</v>
      </c>
      <c r="K8" t="s">
        <v>42</v>
      </c>
      <c r="L8" t="s">
        <v>78</v>
      </c>
      <c r="M8" t="s">
        <v>44</v>
      </c>
      <c r="N8">
        <v>5</v>
      </c>
      <c r="O8">
        <v>4.9000000000000004</v>
      </c>
    </row>
    <row r="9" spans="1:15" x14ac:dyDescent="0.3">
      <c r="A9" t="s">
        <v>79</v>
      </c>
      <c r="B9" t="s">
        <v>46</v>
      </c>
      <c r="C9" t="s">
        <v>80</v>
      </c>
      <c r="D9" t="s">
        <v>81</v>
      </c>
      <c r="E9" t="s">
        <v>82</v>
      </c>
      <c r="F9" t="s">
        <v>83</v>
      </c>
      <c r="G9" t="s">
        <v>6</v>
      </c>
      <c r="H9">
        <v>3.9</v>
      </c>
      <c r="I9">
        <v>12</v>
      </c>
      <c r="J9">
        <v>144</v>
      </c>
      <c r="K9" t="s">
        <v>33</v>
      </c>
      <c r="L9" t="s">
        <v>71</v>
      </c>
      <c r="M9" t="s">
        <v>44</v>
      </c>
      <c r="N9">
        <v>4.9000000000000004</v>
      </c>
      <c r="O9">
        <v>4.8</v>
      </c>
    </row>
    <row r="10" spans="1:15" x14ac:dyDescent="0.3">
      <c r="A10" t="s">
        <v>84</v>
      </c>
      <c r="B10" t="s">
        <v>51</v>
      </c>
      <c r="C10" t="s">
        <v>85</v>
      </c>
      <c r="D10" t="s">
        <v>53</v>
      </c>
      <c r="E10" t="s">
        <v>86</v>
      </c>
      <c r="F10" t="s">
        <v>55</v>
      </c>
      <c r="G10" t="s">
        <v>6</v>
      </c>
      <c r="H10">
        <v>5.6</v>
      </c>
      <c r="I10">
        <v>11</v>
      </c>
      <c r="J10">
        <v>214</v>
      </c>
      <c r="K10" t="s">
        <v>56</v>
      </c>
      <c r="L10" t="s">
        <v>71</v>
      </c>
      <c r="M10" t="s">
        <v>44</v>
      </c>
      <c r="N10">
        <v>4.8</v>
      </c>
      <c r="O10">
        <v>4.7</v>
      </c>
    </row>
    <row r="11" spans="1:15" x14ac:dyDescent="0.3">
      <c r="A11" t="s">
        <v>87</v>
      </c>
      <c r="B11" t="s">
        <v>88</v>
      </c>
      <c r="C11" t="s">
        <v>89</v>
      </c>
      <c r="D11" t="s">
        <v>81</v>
      </c>
      <c r="E11" t="s">
        <v>90</v>
      </c>
      <c r="F11" t="s">
        <v>91</v>
      </c>
      <c r="G11" t="s">
        <v>5</v>
      </c>
      <c r="H11">
        <v>9.3000000000000007</v>
      </c>
      <c r="I11">
        <v>26</v>
      </c>
      <c r="J11">
        <v>322</v>
      </c>
      <c r="K11" t="s">
        <v>33</v>
      </c>
      <c r="L11" t="s">
        <v>71</v>
      </c>
      <c r="M11" t="s">
        <v>44</v>
      </c>
      <c r="N11">
        <v>4</v>
      </c>
      <c r="O11">
        <v>4.9000000000000004</v>
      </c>
    </row>
    <row r="12" spans="1:15" x14ac:dyDescent="0.3">
      <c r="A12" t="s">
        <v>92</v>
      </c>
      <c r="B12" t="s">
        <v>93</v>
      </c>
      <c r="C12" t="s">
        <v>94</v>
      </c>
      <c r="D12" t="s">
        <v>61</v>
      </c>
      <c r="E12" t="s">
        <v>95</v>
      </c>
      <c r="F12" t="s">
        <v>96</v>
      </c>
      <c r="G12" t="s">
        <v>5</v>
      </c>
      <c r="H12">
        <v>7.6</v>
      </c>
      <c r="I12">
        <v>12</v>
      </c>
      <c r="J12">
        <v>266</v>
      </c>
      <c r="K12" t="s">
        <v>33</v>
      </c>
      <c r="L12" t="s">
        <v>43</v>
      </c>
      <c r="M12" t="s">
        <v>44</v>
      </c>
      <c r="N12">
        <v>4.7</v>
      </c>
      <c r="O12">
        <v>4.8</v>
      </c>
    </row>
    <row r="13" spans="1:15" x14ac:dyDescent="0.3">
      <c r="A13" t="s">
        <v>97</v>
      </c>
      <c r="B13" t="s">
        <v>98</v>
      </c>
      <c r="C13" t="s">
        <v>99</v>
      </c>
      <c r="D13" t="s">
        <v>30</v>
      </c>
      <c r="E13" t="s">
        <v>100</v>
      </c>
      <c r="F13" t="s">
        <v>101</v>
      </c>
      <c r="G13" t="s">
        <v>6</v>
      </c>
      <c r="H13">
        <v>26.8</v>
      </c>
      <c r="I13">
        <v>88</v>
      </c>
      <c r="J13">
        <v>599</v>
      </c>
      <c r="K13" t="s">
        <v>102</v>
      </c>
      <c r="L13" t="s">
        <v>71</v>
      </c>
      <c r="M13" t="s">
        <v>44</v>
      </c>
      <c r="N13">
        <v>4.5</v>
      </c>
      <c r="O13">
        <v>5</v>
      </c>
    </row>
    <row r="14" spans="1:15" x14ac:dyDescent="0.3">
      <c r="A14" t="s">
        <v>103</v>
      </c>
      <c r="B14" t="s">
        <v>104</v>
      </c>
      <c r="C14" t="s">
        <v>105</v>
      </c>
      <c r="D14" t="s">
        <v>106</v>
      </c>
      <c r="E14" t="s">
        <v>107</v>
      </c>
      <c r="F14" t="s">
        <v>108</v>
      </c>
      <c r="G14" t="s">
        <v>2</v>
      </c>
      <c r="H14">
        <v>2.8</v>
      </c>
      <c r="I14">
        <v>13</v>
      </c>
      <c r="J14">
        <v>58</v>
      </c>
      <c r="K14" t="s">
        <v>42</v>
      </c>
      <c r="L14" t="s">
        <v>49</v>
      </c>
      <c r="M14" t="s">
        <v>44</v>
      </c>
      <c r="N14">
        <v>4.7</v>
      </c>
      <c r="O14">
        <v>4.5999999999999996</v>
      </c>
    </row>
    <row r="15" spans="1:15" x14ac:dyDescent="0.3">
      <c r="A15" t="s">
        <v>109</v>
      </c>
      <c r="B15" t="s">
        <v>110</v>
      </c>
      <c r="C15" t="s">
        <v>111</v>
      </c>
      <c r="D15" t="s">
        <v>30</v>
      </c>
      <c r="E15" t="s">
        <v>112</v>
      </c>
      <c r="F15" t="s">
        <v>32</v>
      </c>
      <c r="G15" t="s">
        <v>2</v>
      </c>
      <c r="H15">
        <v>5.9</v>
      </c>
      <c r="I15">
        <v>27</v>
      </c>
      <c r="J15">
        <v>104</v>
      </c>
      <c r="K15" t="s">
        <v>33</v>
      </c>
      <c r="L15" t="s">
        <v>34</v>
      </c>
      <c r="M15" t="s">
        <v>35</v>
      </c>
      <c r="N15">
        <v>5</v>
      </c>
      <c r="O15">
        <v>5</v>
      </c>
    </row>
    <row r="16" spans="1:15" x14ac:dyDescent="0.3">
      <c r="A16" t="s">
        <v>113</v>
      </c>
      <c r="B16" t="s">
        <v>114</v>
      </c>
      <c r="C16" t="s">
        <v>115</v>
      </c>
      <c r="D16" t="s">
        <v>61</v>
      </c>
      <c r="E16" t="s">
        <v>63</v>
      </c>
      <c r="F16" t="s">
        <v>116</v>
      </c>
      <c r="G16" t="s">
        <v>5</v>
      </c>
      <c r="H16">
        <v>1.8</v>
      </c>
      <c r="I16">
        <v>11</v>
      </c>
      <c r="J16">
        <v>147</v>
      </c>
      <c r="K16" t="s">
        <v>33</v>
      </c>
      <c r="L16" t="s">
        <v>71</v>
      </c>
      <c r="M16" t="s">
        <v>44</v>
      </c>
      <c r="N16">
        <v>4.8</v>
      </c>
      <c r="O16">
        <v>4.7</v>
      </c>
    </row>
    <row r="17" spans="1:15" x14ac:dyDescent="0.3">
      <c r="A17" t="s">
        <v>117</v>
      </c>
      <c r="B17" t="s">
        <v>118</v>
      </c>
      <c r="C17" t="s">
        <v>119</v>
      </c>
      <c r="D17" t="s">
        <v>68</v>
      </c>
      <c r="E17" t="s">
        <v>70</v>
      </c>
      <c r="F17" t="s">
        <v>120</v>
      </c>
      <c r="G17" t="s">
        <v>2</v>
      </c>
      <c r="H17">
        <v>5</v>
      </c>
      <c r="I17">
        <v>20</v>
      </c>
      <c r="J17">
        <v>105</v>
      </c>
      <c r="K17" t="s">
        <v>33</v>
      </c>
      <c r="L17" t="s">
        <v>78</v>
      </c>
      <c r="M17" t="s">
        <v>44</v>
      </c>
      <c r="N17">
        <v>4.9000000000000004</v>
      </c>
      <c r="O17">
        <v>4.5999999999999996</v>
      </c>
    </row>
    <row r="18" spans="1:15" x14ac:dyDescent="0.3">
      <c r="A18" t="s">
        <v>121</v>
      </c>
      <c r="B18" t="s">
        <v>122</v>
      </c>
      <c r="C18" t="s">
        <v>123</v>
      </c>
      <c r="D18" t="s">
        <v>30</v>
      </c>
      <c r="E18" t="s">
        <v>100</v>
      </c>
      <c r="F18" t="s">
        <v>32</v>
      </c>
      <c r="G18" t="s">
        <v>7</v>
      </c>
      <c r="H18">
        <v>8.8000000000000007</v>
      </c>
      <c r="I18">
        <v>38</v>
      </c>
      <c r="J18">
        <v>319</v>
      </c>
      <c r="K18" t="s">
        <v>56</v>
      </c>
      <c r="L18" t="s">
        <v>71</v>
      </c>
      <c r="M18" t="s">
        <v>44</v>
      </c>
      <c r="N18">
        <v>4.5</v>
      </c>
      <c r="O18">
        <v>4.8</v>
      </c>
    </row>
    <row r="19" spans="1:15" x14ac:dyDescent="0.3">
      <c r="A19" t="s">
        <v>124</v>
      </c>
      <c r="B19" t="s">
        <v>28</v>
      </c>
      <c r="C19" t="s">
        <v>125</v>
      </c>
      <c r="D19" t="s">
        <v>106</v>
      </c>
      <c r="E19" t="s">
        <v>126</v>
      </c>
      <c r="F19" t="s">
        <v>108</v>
      </c>
      <c r="G19" t="s">
        <v>6</v>
      </c>
      <c r="H19">
        <v>8.3000000000000007</v>
      </c>
      <c r="I19">
        <v>22</v>
      </c>
      <c r="J19">
        <v>224</v>
      </c>
      <c r="K19" t="s">
        <v>33</v>
      </c>
      <c r="L19" t="s">
        <v>71</v>
      </c>
      <c r="M19" t="s">
        <v>44</v>
      </c>
      <c r="N19">
        <v>4.7</v>
      </c>
      <c r="O19">
        <v>4.8</v>
      </c>
    </row>
    <row r="20" spans="1:15" x14ac:dyDescent="0.3">
      <c r="A20" t="s">
        <v>127</v>
      </c>
      <c r="B20" t="s">
        <v>128</v>
      </c>
      <c r="C20" t="s">
        <v>129</v>
      </c>
      <c r="D20" t="s">
        <v>68</v>
      </c>
      <c r="E20" t="s">
        <v>130</v>
      </c>
      <c r="F20" t="s">
        <v>70</v>
      </c>
      <c r="G20" t="s">
        <v>5</v>
      </c>
      <c r="H20">
        <v>6</v>
      </c>
      <c r="I20">
        <v>16</v>
      </c>
      <c r="J20">
        <v>186</v>
      </c>
      <c r="K20" t="s">
        <v>33</v>
      </c>
      <c r="L20" t="s">
        <v>34</v>
      </c>
      <c r="M20" t="s">
        <v>35</v>
      </c>
      <c r="N20">
        <v>4.3</v>
      </c>
      <c r="O20">
        <v>4.7</v>
      </c>
    </row>
    <row r="21" spans="1:15" x14ac:dyDescent="0.3">
      <c r="A21" t="s">
        <v>131</v>
      </c>
      <c r="B21" t="s">
        <v>132</v>
      </c>
      <c r="C21" t="s">
        <v>133</v>
      </c>
      <c r="D21" t="s">
        <v>81</v>
      </c>
      <c r="E21" t="s">
        <v>134</v>
      </c>
      <c r="F21" t="s">
        <v>83</v>
      </c>
      <c r="G21" t="s">
        <v>4</v>
      </c>
      <c r="H21">
        <v>11.5</v>
      </c>
      <c r="I21">
        <v>34</v>
      </c>
      <c r="J21">
        <v>373</v>
      </c>
      <c r="K21" t="s">
        <v>42</v>
      </c>
      <c r="L21" t="s">
        <v>34</v>
      </c>
      <c r="M21" t="s">
        <v>35</v>
      </c>
      <c r="N21">
        <v>4.9000000000000004</v>
      </c>
      <c r="O21">
        <v>5</v>
      </c>
    </row>
    <row r="22" spans="1:15" x14ac:dyDescent="0.3">
      <c r="A22" t="s">
        <v>135</v>
      </c>
      <c r="B22" t="s">
        <v>136</v>
      </c>
      <c r="C22" t="s">
        <v>137</v>
      </c>
      <c r="D22" t="s">
        <v>30</v>
      </c>
      <c r="E22" t="s">
        <v>31</v>
      </c>
      <c r="F22" t="s">
        <v>138</v>
      </c>
      <c r="G22" t="s">
        <v>4</v>
      </c>
      <c r="H22">
        <v>8.1</v>
      </c>
      <c r="I22">
        <v>28</v>
      </c>
      <c r="J22">
        <v>336</v>
      </c>
      <c r="K22" t="s">
        <v>56</v>
      </c>
      <c r="L22" t="s">
        <v>43</v>
      </c>
      <c r="M22" t="s">
        <v>44</v>
      </c>
      <c r="N22">
        <v>5</v>
      </c>
      <c r="O22">
        <v>5</v>
      </c>
    </row>
    <row r="23" spans="1:15" x14ac:dyDescent="0.3">
      <c r="A23" t="s">
        <v>139</v>
      </c>
      <c r="B23" t="s">
        <v>140</v>
      </c>
      <c r="C23" t="s">
        <v>141</v>
      </c>
      <c r="D23" t="s">
        <v>30</v>
      </c>
      <c r="E23" t="s">
        <v>142</v>
      </c>
      <c r="F23" t="s">
        <v>31</v>
      </c>
      <c r="G23" t="s">
        <v>2</v>
      </c>
      <c r="H23">
        <v>6.6</v>
      </c>
      <c r="I23">
        <v>36</v>
      </c>
      <c r="J23">
        <v>91</v>
      </c>
      <c r="K23" t="s">
        <v>33</v>
      </c>
      <c r="L23" t="s">
        <v>43</v>
      </c>
      <c r="M23" t="s">
        <v>44</v>
      </c>
      <c r="N23">
        <v>4.5999999999999996</v>
      </c>
      <c r="O23">
        <v>4.8</v>
      </c>
    </row>
    <row r="24" spans="1:15" x14ac:dyDescent="0.3">
      <c r="A24" t="s">
        <v>143</v>
      </c>
      <c r="B24" t="s">
        <v>144</v>
      </c>
      <c r="C24" t="s">
        <v>145</v>
      </c>
      <c r="D24" t="s">
        <v>75</v>
      </c>
      <c r="E24" t="s">
        <v>76</v>
      </c>
      <c r="F24" t="s">
        <v>146</v>
      </c>
      <c r="G24" t="s">
        <v>2</v>
      </c>
      <c r="H24">
        <v>11.5</v>
      </c>
      <c r="I24">
        <v>30</v>
      </c>
      <c r="J24">
        <v>184</v>
      </c>
      <c r="K24" t="s">
        <v>42</v>
      </c>
      <c r="L24" t="s">
        <v>43</v>
      </c>
      <c r="M24" t="s">
        <v>44</v>
      </c>
      <c r="N24">
        <v>4.5</v>
      </c>
      <c r="O24">
        <v>5</v>
      </c>
    </row>
    <row r="25" spans="1:15" x14ac:dyDescent="0.3">
      <c r="A25" t="s">
        <v>147</v>
      </c>
      <c r="B25" t="s">
        <v>148</v>
      </c>
      <c r="C25" t="s">
        <v>149</v>
      </c>
      <c r="D25" t="s">
        <v>68</v>
      </c>
      <c r="E25" t="s">
        <v>150</v>
      </c>
      <c r="F25" t="s">
        <v>69</v>
      </c>
      <c r="G25" t="s">
        <v>6</v>
      </c>
      <c r="H25">
        <v>10.1</v>
      </c>
      <c r="I25">
        <v>22</v>
      </c>
      <c r="J25">
        <v>192</v>
      </c>
      <c r="K25" t="s">
        <v>33</v>
      </c>
      <c r="L25" t="s">
        <v>49</v>
      </c>
      <c r="M25" t="s">
        <v>44</v>
      </c>
      <c r="N25">
        <v>4.5</v>
      </c>
      <c r="O25">
        <v>5</v>
      </c>
    </row>
    <row r="26" spans="1:15" x14ac:dyDescent="0.3">
      <c r="A26" t="s">
        <v>151</v>
      </c>
      <c r="B26" t="s">
        <v>152</v>
      </c>
      <c r="C26" t="s">
        <v>153</v>
      </c>
      <c r="D26" t="s">
        <v>39</v>
      </c>
      <c r="E26" t="s">
        <v>154</v>
      </c>
      <c r="F26" t="s">
        <v>155</v>
      </c>
      <c r="G26" t="s">
        <v>6</v>
      </c>
      <c r="H26">
        <v>12.2</v>
      </c>
      <c r="I26">
        <v>36</v>
      </c>
      <c r="J26">
        <v>349</v>
      </c>
      <c r="K26" t="s">
        <v>33</v>
      </c>
      <c r="L26" t="s">
        <v>43</v>
      </c>
      <c r="M26" t="s">
        <v>44</v>
      </c>
      <c r="N26">
        <v>5</v>
      </c>
      <c r="O26">
        <v>4.5</v>
      </c>
    </row>
    <row r="27" spans="1:15" x14ac:dyDescent="0.3">
      <c r="A27" t="s">
        <v>156</v>
      </c>
      <c r="B27" t="s">
        <v>132</v>
      </c>
      <c r="C27" t="s">
        <v>157</v>
      </c>
      <c r="D27" t="s">
        <v>158</v>
      </c>
      <c r="E27" t="s">
        <v>159</v>
      </c>
      <c r="F27" t="s">
        <v>160</v>
      </c>
      <c r="G27" t="s">
        <v>2</v>
      </c>
      <c r="H27">
        <v>2.8</v>
      </c>
      <c r="I27">
        <v>13</v>
      </c>
      <c r="J27">
        <v>76</v>
      </c>
      <c r="K27" t="s">
        <v>102</v>
      </c>
      <c r="L27" t="s">
        <v>161</v>
      </c>
      <c r="M27" t="s">
        <v>35</v>
      </c>
      <c r="N27">
        <v>4.7</v>
      </c>
      <c r="O27">
        <v>4.5999999999999996</v>
      </c>
    </row>
    <row r="28" spans="1:15" x14ac:dyDescent="0.3">
      <c r="A28" t="s">
        <v>162</v>
      </c>
      <c r="B28" t="s">
        <v>163</v>
      </c>
      <c r="C28" t="s">
        <v>164</v>
      </c>
      <c r="D28" t="s">
        <v>39</v>
      </c>
      <c r="E28" t="s">
        <v>40</v>
      </c>
      <c r="F28" t="s">
        <v>48</v>
      </c>
      <c r="G28" t="s">
        <v>6</v>
      </c>
      <c r="H28">
        <v>17</v>
      </c>
      <c r="I28">
        <v>57</v>
      </c>
      <c r="J28">
        <v>353</v>
      </c>
      <c r="K28" t="s">
        <v>33</v>
      </c>
      <c r="L28" t="s">
        <v>49</v>
      </c>
      <c r="M28" t="s">
        <v>44</v>
      </c>
      <c r="N28">
        <v>4.7</v>
      </c>
      <c r="O28">
        <v>4.5999999999999996</v>
      </c>
    </row>
    <row r="29" spans="1:15" x14ac:dyDescent="0.3">
      <c r="A29" t="s">
        <v>165</v>
      </c>
      <c r="B29" t="s">
        <v>166</v>
      </c>
      <c r="C29" t="s">
        <v>167</v>
      </c>
      <c r="D29" t="s">
        <v>106</v>
      </c>
      <c r="E29" t="s">
        <v>107</v>
      </c>
      <c r="F29" t="s">
        <v>168</v>
      </c>
      <c r="G29" t="s">
        <v>7</v>
      </c>
      <c r="H29">
        <v>9</v>
      </c>
      <c r="I29">
        <v>26</v>
      </c>
      <c r="J29">
        <v>240</v>
      </c>
      <c r="K29" t="s">
        <v>33</v>
      </c>
      <c r="L29" t="s">
        <v>161</v>
      </c>
      <c r="M29" t="s">
        <v>35</v>
      </c>
      <c r="N29">
        <v>4.9000000000000004</v>
      </c>
      <c r="O29">
        <v>4.8</v>
      </c>
    </row>
    <row r="30" spans="1:15" x14ac:dyDescent="0.3">
      <c r="A30" t="s">
        <v>169</v>
      </c>
      <c r="B30" t="s">
        <v>170</v>
      </c>
      <c r="C30" t="s">
        <v>171</v>
      </c>
      <c r="D30" t="s">
        <v>68</v>
      </c>
      <c r="E30" t="s">
        <v>172</v>
      </c>
      <c r="F30" t="s">
        <v>150</v>
      </c>
      <c r="G30" t="s">
        <v>2</v>
      </c>
      <c r="H30">
        <v>2.8</v>
      </c>
      <c r="I30">
        <v>8</v>
      </c>
      <c r="J30">
        <v>75</v>
      </c>
      <c r="K30" t="s">
        <v>102</v>
      </c>
      <c r="L30" t="s">
        <v>71</v>
      </c>
      <c r="M30" t="s">
        <v>44</v>
      </c>
      <c r="N30">
        <v>4.9000000000000004</v>
      </c>
      <c r="O30">
        <v>4.9000000000000004</v>
      </c>
    </row>
    <row r="31" spans="1:15" x14ac:dyDescent="0.3">
      <c r="A31" t="s">
        <v>173</v>
      </c>
      <c r="B31" t="s">
        <v>174</v>
      </c>
      <c r="C31" t="s">
        <v>175</v>
      </c>
      <c r="D31" t="s">
        <v>75</v>
      </c>
      <c r="E31" t="s">
        <v>76</v>
      </c>
      <c r="F31" t="s">
        <v>146</v>
      </c>
      <c r="G31" t="s">
        <v>4</v>
      </c>
      <c r="H31">
        <v>3.7</v>
      </c>
      <c r="I31">
        <v>16</v>
      </c>
      <c r="J31">
        <v>198</v>
      </c>
      <c r="K31" t="s">
        <v>42</v>
      </c>
      <c r="L31" t="s">
        <v>78</v>
      </c>
      <c r="M31" t="s">
        <v>44</v>
      </c>
      <c r="N31">
        <v>4.3</v>
      </c>
      <c r="O31">
        <v>4.5999999999999996</v>
      </c>
    </row>
    <row r="32" spans="1:15" x14ac:dyDescent="0.3">
      <c r="A32" t="s">
        <v>176</v>
      </c>
      <c r="B32" t="s">
        <v>177</v>
      </c>
      <c r="C32" t="s">
        <v>178</v>
      </c>
      <c r="D32" t="s">
        <v>30</v>
      </c>
      <c r="E32" t="s">
        <v>112</v>
      </c>
      <c r="F32" t="s">
        <v>179</v>
      </c>
      <c r="G32" t="s">
        <v>3</v>
      </c>
      <c r="H32">
        <v>17.100000000000001</v>
      </c>
      <c r="I32">
        <v>62</v>
      </c>
      <c r="J32">
        <v>779</v>
      </c>
      <c r="K32" t="s">
        <v>33</v>
      </c>
      <c r="L32" t="s">
        <v>34</v>
      </c>
      <c r="M32" t="s">
        <v>35</v>
      </c>
      <c r="N32">
        <v>4.7</v>
      </c>
      <c r="O32">
        <v>4.9000000000000004</v>
      </c>
    </row>
    <row r="33" spans="1:15" x14ac:dyDescent="0.3">
      <c r="A33" t="s">
        <v>180</v>
      </c>
      <c r="B33" t="s">
        <v>181</v>
      </c>
      <c r="C33" t="s">
        <v>182</v>
      </c>
      <c r="D33" t="s">
        <v>61</v>
      </c>
      <c r="E33" t="s">
        <v>183</v>
      </c>
      <c r="F33" t="s">
        <v>62</v>
      </c>
      <c r="G33" t="s">
        <v>2</v>
      </c>
      <c r="H33">
        <v>3.2</v>
      </c>
      <c r="I33">
        <v>9</v>
      </c>
      <c r="J33">
        <v>107</v>
      </c>
      <c r="K33" t="s">
        <v>33</v>
      </c>
      <c r="L33" t="s">
        <v>71</v>
      </c>
      <c r="M33" t="s">
        <v>44</v>
      </c>
      <c r="N33">
        <v>4.3</v>
      </c>
      <c r="O33">
        <v>4.7</v>
      </c>
    </row>
    <row r="34" spans="1:15" x14ac:dyDescent="0.3">
      <c r="A34" t="s">
        <v>184</v>
      </c>
      <c r="B34" t="s">
        <v>185</v>
      </c>
      <c r="C34" t="s">
        <v>186</v>
      </c>
      <c r="D34" t="s">
        <v>106</v>
      </c>
      <c r="E34" t="s">
        <v>126</v>
      </c>
      <c r="F34" t="s">
        <v>187</v>
      </c>
      <c r="G34" t="s">
        <v>4</v>
      </c>
      <c r="H34">
        <v>3.7</v>
      </c>
      <c r="I34">
        <v>10</v>
      </c>
      <c r="J34">
        <v>235</v>
      </c>
      <c r="K34" t="s">
        <v>102</v>
      </c>
      <c r="L34" t="s">
        <v>71</v>
      </c>
      <c r="M34" t="s">
        <v>44</v>
      </c>
      <c r="N34">
        <v>4.5999999999999996</v>
      </c>
      <c r="O34">
        <v>4.9000000000000004</v>
      </c>
    </row>
    <row r="35" spans="1:15" x14ac:dyDescent="0.3">
      <c r="A35" t="s">
        <v>188</v>
      </c>
      <c r="B35" t="s">
        <v>189</v>
      </c>
      <c r="C35" t="s">
        <v>190</v>
      </c>
      <c r="D35" t="s">
        <v>61</v>
      </c>
      <c r="E35" t="s">
        <v>191</v>
      </c>
      <c r="F35" t="s">
        <v>116</v>
      </c>
      <c r="G35" t="s">
        <v>4</v>
      </c>
      <c r="H35">
        <v>4.2</v>
      </c>
      <c r="I35">
        <v>9</v>
      </c>
      <c r="J35">
        <v>165</v>
      </c>
      <c r="K35" t="s">
        <v>192</v>
      </c>
      <c r="L35" t="s">
        <v>64</v>
      </c>
      <c r="M35" t="s">
        <v>44</v>
      </c>
      <c r="N35">
        <v>5</v>
      </c>
      <c r="O35">
        <v>4.7</v>
      </c>
    </row>
    <row r="36" spans="1:15" x14ac:dyDescent="0.3">
      <c r="A36" t="s">
        <v>193</v>
      </c>
      <c r="B36" t="s">
        <v>140</v>
      </c>
      <c r="C36" t="s">
        <v>194</v>
      </c>
      <c r="D36" t="s">
        <v>68</v>
      </c>
      <c r="E36" t="s">
        <v>69</v>
      </c>
      <c r="F36" t="s">
        <v>195</v>
      </c>
      <c r="G36" t="s">
        <v>6</v>
      </c>
      <c r="H36">
        <v>17.3</v>
      </c>
      <c r="I36">
        <v>38</v>
      </c>
      <c r="J36">
        <v>382</v>
      </c>
      <c r="K36" t="s">
        <v>102</v>
      </c>
      <c r="L36" t="s">
        <v>71</v>
      </c>
      <c r="M36" t="s">
        <v>44</v>
      </c>
      <c r="N36">
        <v>5</v>
      </c>
      <c r="O36">
        <v>5</v>
      </c>
    </row>
    <row r="37" spans="1:15" x14ac:dyDescent="0.3">
      <c r="A37" t="s">
        <v>196</v>
      </c>
      <c r="B37" t="s">
        <v>197</v>
      </c>
      <c r="C37" t="s">
        <v>198</v>
      </c>
      <c r="D37" t="s">
        <v>68</v>
      </c>
      <c r="E37" t="s">
        <v>195</v>
      </c>
      <c r="F37" t="s">
        <v>130</v>
      </c>
      <c r="G37" t="s">
        <v>6</v>
      </c>
      <c r="H37">
        <v>5</v>
      </c>
      <c r="I37">
        <v>17</v>
      </c>
      <c r="J37">
        <v>156</v>
      </c>
      <c r="K37" t="s">
        <v>192</v>
      </c>
      <c r="L37" t="s">
        <v>43</v>
      </c>
      <c r="M37" t="s">
        <v>44</v>
      </c>
      <c r="N37">
        <v>4.7</v>
      </c>
      <c r="O37">
        <v>4.8</v>
      </c>
    </row>
    <row r="38" spans="1:15" x14ac:dyDescent="0.3">
      <c r="A38" t="s">
        <v>199</v>
      </c>
      <c r="B38" t="s">
        <v>200</v>
      </c>
      <c r="C38" t="s">
        <v>74</v>
      </c>
      <c r="D38" t="s">
        <v>81</v>
      </c>
      <c r="E38" t="s">
        <v>201</v>
      </c>
      <c r="F38" t="s">
        <v>83</v>
      </c>
      <c r="G38" t="s">
        <v>4</v>
      </c>
      <c r="H38">
        <v>3.5</v>
      </c>
      <c r="I38">
        <v>14</v>
      </c>
      <c r="J38">
        <v>149</v>
      </c>
      <c r="K38" t="s">
        <v>102</v>
      </c>
      <c r="L38" t="s">
        <v>78</v>
      </c>
      <c r="M38" t="s">
        <v>44</v>
      </c>
      <c r="N38">
        <v>4.7</v>
      </c>
      <c r="O38">
        <v>5</v>
      </c>
    </row>
    <row r="39" spans="1:15" x14ac:dyDescent="0.3">
      <c r="A39" t="s">
        <v>202</v>
      </c>
      <c r="B39" t="s">
        <v>166</v>
      </c>
      <c r="C39" t="s">
        <v>203</v>
      </c>
      <c r="D39" t="s">
        <v>30</v>
      </c>
      <c r="E39" t="s">
        <v>100</v>
      </c>
      <c r="F39" t="s">
        <v>101</v>
      </c>
      <c r="G39" t="s">
        <v>6</v>
      </c>
      <c r="H39">
        <v>12.8</v>
      </c>
      <c r="I39">
        <v>28</v>
      </c>
      <c r="J39">
        <v>366</v>
      </c>
      <c r="K39" t="s">
        <v>102</v>
      </c>
      <c r="L39" t="s">
        <v>64</v>
      </c>
      <c r="M39" t="s">
        <v>44</v>
      </c>
      <c r="N39">
        <v>5</v>
      </c>
      <c r="O39">
        <v>5</v>
      </c>
    </row>
    <row r="40" spans="1:15" x14ac:dyDescent="0.3">
      <c r="A40" t="s">
        <v>204</v>
      </c>
      <c r="B40" t="s">
        <v>205</v>
      </c>
      <c r="C40" t="s">
        <v>206</v>
      </c>
      <c r="D40" t="s">
        <v>39</v>
      </c>
      <c r="E40" t="s">
        <v>41</v>
      </c>
      <c r="F40" t="s">
        <v>40</v>
      </c>
      <c r="G40" t="s">
        <v>3</v>
      </c>
      <c r="H40">
        <v>4.0999999999999996</v>
      </c>
      <c r="I40">
        <v>7</v>
      </c>
      <c r="J40">
        <v>416</v>
      </c>
      <c r="K40" t="s">
        <v>42</v>
      </c>
      <c r="L40" t="s">
        <v>71</v>
      </c>
      <c r="M40" t="s">
        <v>44</v>
      </c>
      <c r="N40">
        <v>4.7</v>
      </c>
      <c r="O40">
        <v>4.7</v>
      </c>
    </row>
    <row r="41" spans="1:15" x14ac:dyDescent="0.3">
      <c r="A41" t="s">
        <v>207</v>
      </c>
      <c r="B41" t="s">
        <v>208</v>
      </c>
      <c r="C41" t="s">
        <v>209</v>
      </c>
      <c r="D41" t="s">
        <v>68</v>
      </c>
      <c r="E41" t="s">
        <v>210</v>
      </c>
      <c r="F41" t="s">
        <v>120</v>
      </c>
      <c r="G41" t="s">
        <v>7</v>
      </c>
      <c r="H41">
        <v>8.3000000000000007</v>
      </c>
      <c r="I41">
        <v>17</v>
      </c>
      <c r="J41">
        <v>234</v>
      </c>
      <c r="K41" t="s">
        <v>42</v>
      </c>
      <c r="L41" t="s">
        <v>64</v>
      </c>
      <c r="M41" t="s">
        <v>44</v>
      </c>
      <c r="N41">
        <v>4.5999999999999996</v>
      </c>
      <c r="O41">
        <v>4.8</v>
      </c>
    </row>
    <row r="42" spans="1:15" x14ac:dyDescent="0.3">
      <c r="A42" t="s">
        <v>211</v>
      </c>
      <c r="B42" t="s">
        <v>37</v>
      </c>
      <c r="C42" t="s">
        <v>212</v>
      </c>
      <c r="D42" t="s">
        <v>68</v>
      </c>
      <c r="E42" t="s">
        <v>172</v>
      </c>
      <c r="F42" t="s">
        <v>130</v>
      </c>
      <c r="G42" t="s">
        <v>6</v>
      </c>
      <c r="H42">
        <v>6.8</v>
      </c>
      <c r="I42">
        <v>20</v>
      </c>
      <c r="J42">
        <v>205</v>
      </c>
      <c r="K42" t="s">
        <v>33</v>
      </c>
      <c r="L42" t="s">
        <v>71</v>
      </c>
      <c r="M42" t="s">
        <v>44</v>
      </c>
      <c r="N42">
        <v>5</v>
      </c>
      <c r="O42">
        <v>5</v>
      </c>
    </row>
    <row r="43" spans="1:15" x14ac:dyDescent="0.3">
      <c r="A43" t="s">
        <v>213</v>
      </c>
      <c r="B43" t="s">
        <v>136</v>
      </c>
      <c r="C43" t="s">
        <v>214</v>
      </c>
      <c r="D43" t="s">
        <v>61</v>
      </c>
      <c r="E43" t="s">
        <v>116</v>
      </c>
      <c r="F43" t="s">
        <v>183</v>
      </c>
      <c r="G43" t="s">
        <v>6</v>
      </c>
      <c r="H43">
        <v>7.1</v>
      </c>
      <c r="I43">
        <v>24</v>
      </c>
      <c r="J43">
        <v>171</v>
      </c>
      <c r="K43" t="s">
        <v>42</v>
      </c>
      <c r="L43" t="s">
        <v>78</v>
      </c>
      <c r="M43" t="s">
        <v>44</v>
      </c>
      <c r="N43">
        <v>4.9000000000000004</v>
      </c>
      <c r="O43">
        <v>4.9000000000000004</v>
      </c>
    </row>
    <row r="44" spans="1:15" x14ac:dyDescent="0.3">
      <c r="A44" t="s">
        <v>215</v>
      </c>
      <c r="B44" t="s">
        <v>128</v>
      </c>
      <c r="C44" t="s">
        <v>216</v>
      </c>
      <c r="D44" t="s">
        <v>39</v>
      </c>
      <c r="E44" t="s">
        <v>40</v>
      </c>
      <c r="F44" t="s">
        <v>41</v>
      </c>
      <c r="G44" t="s">
        <v>2</v>
      </c>
      <c r="H44">
        <v>10.3</v>
      </c>
      <c r="I44">
        <v>25</v>
      </c>
      <c r="J44">
        <v>154</v>
      </c>
      <c r="K44" t="s">
        <v>42</v>
      </c>
      <c r="L44" t="s">
        <v>64</v>
      </c>
      <c r="M44" t="s">
        <v>44</v>
      </c>
      <c r="N44">
        <v>4.8</v>
      </c>
      <c r="O44">
        <v>4.4000000000000004</v>
      </c>
    </row>
    <row r="45" spans="1:15" x14ac:dyDescent="0.3">
      <c r="A45" t="s">
        <v>217</v>
      </c>
      <c r="B45" t="s">
        <v>218</v>
      </c>
      <c r="C45" t="s">
        <v>219</v>
      </c>
      <c r="D45" t="s">
        <v>53</v>
      </c>
      <c r="E45" t="s">
        <v>220</v>
      </c>
      <c r="F45" t="s">
        <v>221</v>
      </c>
      <c r="G45" t="s">
        <v>3</v>
      </c>
      <c r="H45">
        <v>6.5</v>
      </c>
      <c r="I45">
        <v>20</v>
      </c>
      <c r="J45">
        <v>375</v>
      </c>
      <c r="K45" t="s">
        <v>33</v>
      </c>
      <c r="L45" t="s">
        <v>78</v>
      </c>
      <c r="M45" t="s">
        <v>44</v>
      </c>
      <c r="N45">
        <v>4.7</v>
      </c>
      <c r="O45">
        <v>4.5</v>
      </c>
    </row>
    <row r="46" spans="1:15" x14ac:dyDescent="0.3">
      <c r="A46" t="s">
        <v>222</v>
      </c>
      <c r="B46" t="s">
        <v>148</v>
      </c>
      <c r="C46" t="s">
        <v>223</v>
      </c>
      <c r="D46" t="s">
        <v>61</v>
      </c>
      <c r="E46" t="s">
        <v>62</v>
      </c>
      <c r="F46" t="s">
        <v>63</v>
      </c>
      <c r="G46" t="s">
        <v>2</v>
      </c>
      <c r="H46">
        <v>6.7</v>
      </c>
      <c r="I46">
        <v>14</v>
      </c>
      <c r="J46">
        <v>118</v>
      </c>
      <c r="K46" t="s">
        <v>33</v>
      </c>
      <c r="L46" t="s">
        <v>64</v>
      </c>
      <c r="M46" t="s">
        <v>44</v>
      </c>
      <c r="N46">
        <v>5</v>
      </c>
      <c r="O46">
        <v>4.7</v>
      </c>
    </row>
    <row r="47" spans="1:15" x14ac:dyDescent="0.3">
      <c r="A47" t="s">
        <v>224</v>
      </c>
      <c r="B47" t="s">
        <v>225</v>
      </c>
      <c r="C47" t="s">
        <v>226</v>
      </c>
      <c r="D47" t="s">
        <v>39</v>
      </c>
      <c r="E47" t="s">
        <v>154</v>
      </c>
      <c r="F47" t="s">
        <v>41</v>
      </c>
      <c r="G47" t="s">
        <v>2</v>
      </c>
      <c r="H47">
        <v>2</v>
      </c>
      <c r="I47">
        <v>7</v>
      </c>
      <c r="J47">
        <v>54</v>
      </c>
      <c r="K47" t="s">
        <v>33</v>
      </c>
      <c r="L47" t="s">
        <v>57</v>
      </c>
      <c r="M47" t="s">
        <v>35</v>
      </c>
      <c r="N47">
        <v>4.4000000000000004</v>
      </c>
      <c r="O47">
        <v>5</v>
      </c>
    </row>
    <row r="48" spans="1:15" x14ac:dyDescent="0.3">
      <c r="A48" t="s">
        <v>227</v>
      </c>
      <c r="B48" t="s">
        <v>228</v>
      </c>
      <c r="C48" t="s">
        <v>229</v>
      </c>
      <c r="D48" t="s">
        <v>75</v>
      </c>
      <c r="E48" t="s">
        <v>76</v>
      </c>
      <c r="F48" t="s">
        <v>230</v>
      </c>
      <c r="G48" t="s">
        <v>2</v>
      </c>
      <c r="H48">
        <v>4.3</v>
      </c>
      <c r="I48">
        <v>11</v>
      </c>
      <c r="J48">
        <v>93</v>
      </c>
      <c r="K48" t="s">
        <v>33</v>
      </c>
      <c r="L48" t="s">
        <v>78</v>
      </c>
      <c r="M48" t="s">
        <v>44</v>
      </c>
      <c r="N48">
        <v>4.5</v>
      </c>
      <c r="O48">
        <v>4.9000000000000004</v>
      </c>
    </row>
    <row r="49" spans="1:15" x14ac:dyDescent="0.3">
      <c r="A49" t="s">
        <v>231</v>
      </c>
      <c r="B49" t="s">
        <v>232</v>
      </c>
      <c r="C49" t="s">
        <v>233</v>
      </c>
      <c r="D49" t="s">
        <v>30</v>
      </c>
      <c r="E49" t="s">
        <v>31</v>
      </c>
      <c r="F49" t="s">
        <v>32</v>
      </c>
      <c r="G49" t="s">
        <v>7</v>
      </c>
      <c r="H49">
        <v>4</v>
      </c>
      <c r="I49">
        <v>8</v>
      </c>
      <c r="J49">
        <v>158</v>
      </c>
      <c r="K49" t="s">
        <v>33</v>
      </c>
      <c r="L49" t="s">
        <v>49</v>
      </c>
      <c r="M49" t="s">
        <v>44</v>
      </c>
      <c r="N49">
        <v>4.8</v>
      </c>
      <c r="O49">
        <v>5</v>
      </c>
    </row>
    <row r="50" spans="1:15" x14ac:dyDescent="0.3">
      <c r="A50" t="s">
        <v>234</v>
      </c>
      <c r="B50" t="s">
        <v>200</v>
      </c>
      <c r="C50" t="s">
        <v>235</v>
      </c>
      <c r="D50" t="s">
        <v>53</v>
      </c>
      <c r="E50" t="s">
        <v>55</v>
      </c>
      <c r="F50" t="s">
        <v>236</v>
      </c>
      <c r="G50" t="s">
        <v>6</v>
      </c>
      <c r="H50">
        <v>13.5</v>
      </c>
      <c r="I50">
        <v>31</v>
      </c>
      <c r="J50">
        <v>237</v>
      </c>
      <c r="K50" t="s">
        <v>102</v>
      </c>
      <c r="L50" t="s">
        <v>49</v>
      </c>
      <c r="M50" t="s">
        <v>44</v>
      </c>
      <c r="N50">
        <v>4.8</v>
      </c>
      <c r="O50">
        <v>5</v>
      </c>
    </row>
    <row r="51" spans="1:15" x14ac:dyDescent="0.3">
      <c r="A51" t="s">
        <v>237</v>
      </c>
      <c r="B51" t="s">
        <v>118</v>
      </c>
      <c r="C51" t="s">
        <v>238</v>
      </c>
      <c r="D51" t="s">
        <v>75</v>
      </c>
      <c r="E51" t="s">
        <v>239</v>
      </c>
      <c r="F51" t="s">
        <v>230</v>
      </c>
      <c r="G51" t="s">
        <v>2</v>
      </c>
      <c r="H51">
        <v>17.5</v>
      </c>
      <c r="I51">
        <v>52</v>
      </c>
      <c r="J51">
        <v>209</v>
      </c>
      <c r="K51" t="s">
        <v>33</v>
      </c>
      <c r="L51" t="s">
        <v>49</v>
      </c>
      <c r="M51" t="s">
        <v>44</v>
      </c>
      <c r="N51">
        <v>4.4000000000000004</v>
      </c>
      <c r="O51">
        <v>5</v>
      </c>
    </row>
    <row r="52" spans="1:15" x14ac:dyDescent="0.3">
      <c r="A52" t="s">
        <v>240</v>
      </c>
      <c r="B52" t="s">
        <v>218</v>
      </c>
      <c r="C52" t="s">
        <v>241</v>
      </c>
      <c r="D52" t="s">
        <v>68</v>
      </c>
      <c r="E52" t="s">
        <v>172</v>
      </c>
      <c r="F52" t="s">
        <v>150</v>
      </c>
      <c r="G52" t="s">
        <v>6</v>
      </c>
      <c r="H52">
        <v>20.6</v>
      </c>
      <c r="I52">
        <v>49</v>
      </c>
      <c r="J52">
        <v>352</v>
      </c>
      <c r="K52" t="s">
        <v>56</v>
      </c>
      <c r="L52" t="s">
        <v>78</v>
      </c>
      <c r="M52" t="s">
        <v>44</v>
      </c>
      <c r="N52">
        <v>4.5</v>
      </c>
      <c r="O52">
        <v>4.7</v>
      </c>
    </row>
    <row r="53" spans="1:15" x14ac:dyDescent="0.3">
      <c r="A53" t="s">
        <v>242</v>
      </c>
      <c r="B53" t="s">
        <v>243</v>
      </c>
      <c r="C53" t="s">
        <v>244</v>
      </c>
      <c r="D53" t="s">
        <v>61</v>
      </c>
      <c r="E53" t="s">
        <v>191</v>
      </c>
      <c r="F53" t="s">
        <v>95</v>
      </c>
      <c r="G53" t="s">
        <v>6</v>
      </c>
      <c r="H53">
        <v>8.6</v>
      </c>
      <c r="I53">
        <v>19</v>
      </c>
      <c r="J53">
        <v>188</v>
      </c>
      <c r="K53" t="s">
        <v>102</v>
      </c>
      <c r="L53" t="s">
        <v>49</v>
      </c>
      <c r="M53" t="s">
        <v>44</v>
      </c>
      <c r="N53">
        <v>4.5</v>
      </c>
      <c r="O53">
        <v>4.8</v>
      </c>
    </row>
    <row r="54" spans="1:15" x14ac:dyDescent="0.3">
      <c r="A54" t="s">
        <v>245</v>
      </c>
      <c r="B54" t="s">
        <v>246</v>
      </c>
      <c r="C54" t="s">
        <v>247</v>
      </c>
      <c r="D54" t="s">
        <v>30</v>
      </c>
      <c r="E54" t="s">
        <v>142</v>
      </c>
      <c r="F54" t="s">
        <v>112</v>
      </c>
      <c r="G54" t="s">
        <v>2</v>
      </c>
      <c r="H54">
        <v>7.1</v>
      </c>
      <c r="I54">
        <v>18</v>
      </c>
      <c r="J54">
        <v>141</v>
      </c>
      <c r="K54" t="s">
        <v>102</v>
      </c>
      <c r="L54" t="s">
        <v>71</v>
      </c>
      <c r="M54" t="s">
        <v>44</v>
      </c>
      <c r="N54">
        <v>4.3</v>
      </c>
      <c r="O54">
        <v>5</v>
      </c>
    </row>
    <row r="55" spans="1:15" x14ac:dyDescent="0.3">
      <c r="A55" t="s">
        <v>248</v>
      </c>
      <c r="B55" t="s">
        <v>249</v>
      </c>
      <c r="C55" t="s">
        <v>250</v>
      </c>
      <c r="D55" t="s">
        <v>39</v>
      </c>
      <c r="E55" t="s">
        <v>48</v>
      </c>
      <c r="F55" t="s">
        <v>40</v>
      </c>
      <c r="G55" t="s">
        <v>6</v>
      </c>
      <c r="H55">
        <v>5.8</v>
      </c>
      <c r="I55">
        <v>20</v>
      </c>
      <c r="J55">
        <v>179</v>
      </c>
      <c r="K55" t="s">
        <v>42</v>
      </c>
      <c r="L55" t="s">
        <v>49</v>
      </c>
      <c r="M55" t="s">
        <v>44</v>
      </c>
      <c r="N55">
        <v>4.5999999999999996</v>
      </c>
      <c r="O55">
        <v>5</v>
      </c>
    </row>
    <row r="56" spans="1:15" x14ac:dyDescent="0.3">
      <c r="A56" t="s">
        <v>251</v>
      </c>
      <c r="B56" t="s">
        <v>177</v>
      </c>
      <c r="C56" t="s">
        <v>252</v>
      </c>
      <c r="D56" t="s">
        <v>81</v>
      </c>
      <c r="E56" t="s">
        <v>201</v>
      </c>
      <c r="F56" t="s">
        <v>82</v>
      </c>
      <c r="G56" t="s">
        <v>6</v>
      </c>
      <c r="H56">
        <v>2.5</v>
      </c>
      <c r="I56">
        <v>9</v>
      </c>
      <c r="J56">
        <v>101</v>
      </c>
      <c r="K56" t="s">
        <v>42</v>
      </c>
      <c r="L56" t="s">
        <v>49</v>
      </c>
      <c r="M56" t="s">
        <v>44</v>
      </c>
      <c r="N56">
        <v>4.8</v>
      </c>
      <c r="O56">
        <v>5</v>
      </c>
    </row>
    <row r="57" spans="1:15" x14ac:dyDescent="0.3">
      <c r="A57" t="s">
        <v>253</v>
      </c>
      <c r="B57" t="s">
        <v>254</v>
      </c>
      <c r="C57" t="s">
        <v>255</v>
      </c>
      <c r="D57" t="s">
        <v>61</v>
      </c>
      <c r="E57" t="s">
        <v>63</v>
      </c>
      <c r="F57" t="s">
        <v>62</v>
      </c>
      <c r="G57" t="s">
        <v>2</v>
      </c>
      <c r="H57">
        <v>3.2</v>
      </c>
      <c r="I57">
        <v>8</v>
      </c>
      <c r="J57">
        <v>107</v>
      </c>
      <c r="K57" t="s">
        <v>33</v>
      </c>
      <c r="L57" t="s">
        <v>71</v>
      </c>
      <c r="M57" t="s">
        <v>44</v>
      </c>
      <c r="N57">
        <v>4.5999999999999996</v>
      </c>
      <c r="O57">
        <v>5</v>
      </c>
    </row>
    <row r="58" spans="1:15" x14ac:dyDescent="0.3">
      <c r="A58" t="s">
        <v>256</v>
      </c>
      <c r="B58" t="s">
        <v>177</v>
      </c>
      <c r="C58" t="s">
        <v>257</v>
      </c>
      <c r="D58" t="s">
        <v>30</v>
      </c>
      <c r="E58" t="s">
        <v>142</v>
      </c>
      <c r="F58" t="s">
        <v>138</v>
      </c>
      <c r="G58" t="s">
        <v>6</v>
      </c>
      <c r="H58">
        <v>4.8</v>
      </c>
      <c r="I58">
        <v>18</v>
      </c>
      <c r="J58">
        <v>128</v>
      </c>
      <c r="K58" t="s">
        <v>102</v>
      </c>
      <c r="L58" t="s">
        <v>49</v>
      </c>
      <c r="M58" t="s">
        <v>44</v>
      </c>
      <c r="N58">
        <v>4.9000000000000004</v>
      </c>
      <c r="O58">
        <v>4.8</v>
      </c>
    </row>
    <row r="59" spans="1:15" x14ac:dyDescent="0.3">
      <c r="A59" t="s">
        <v>258</v>
      </c>
      <c r="B59" t="s">
        <v>185</v>
      </c>
      <c r="C59" t="s">
        <v>259</v>
      </c>
      <c r="D59" t="s">
        <v>61</v>
      </c>
      <c r="E59" t="s">
        <v>95</v>
      </c>
      <c r="F59" t="s">
        <v>191</v>
      </c>
      <c r="G59" t="s">
        <v>7</v>
      </c>
      <c r="H59">
        <v>3.2</v>
      </c>
      <c r="I59">
        <v>7</v>
      </c>
      <c r="J59">
        <v>149</v>
      </c>
      <c r="K59" t="s">
        <v>33</v>
      </c>
      <c r="L59" t="s">
        <v>34</v>
      </c>
      <c r="M59" t="s">
        <v>35</v>
      </c>
      <c r="N59">
        <v>4.8</v>
      </c>
      <c r="O59">
        <v>4.7</v>
      </c>
    </row>
    <row r="60" spans="1:15" x14ac:dyDescent="0.3">
      <c r="A60" t="s">
        <v>260</v>
      </c>
      <c r="B60" t="s">
        <v>152</v>
      </c>
      <c r="C60" t="s">
        <v>261</v>
      </c>
      <c r="D60" t="s">
        <v>158</v>
      </c>
      <c r="E60" t="s">
        <v>160</v>
      </c>
      <c r="F60" t="s">
        <v>262</v>
      </c>
      <c r="G60" t="s">
        <v>7</v>
      </c>
      <c r="H60">
        <v>3.3</v>
      </c>
      <c r="I60">
        <v>14</v>
      </c>
      <c r="J60">
        <v>127</v>
      </c>
      <c r="K60" t="s">
        <v>33</v>
      </c>
      <c r="L60" t="s">
        <v>57</v>
      </c>
      <c r="M60" t="s">
        <v>35</v>
      </c>
      <c r="N60">
        <v>5</v>
      </c>
      <c r="O60">
        <v>4.7</v>
      </c>
    </row>
    <row r="61" spans="1:15" x14ac:dyDescent="0.3">
      <c r="A61" t="s">
        <v>263</v>
      </c>
      <c r="B61" t="s">
        <v>264</v>
      </c>
      <c r="C61" t="s">
        <v>265</v>
      </c>
      <c r="D61" t="s">
        <v>39</v>
      </c>
      <c r="E61" t="s">
        <v>48</v>
      </c>
      <c r="F61" t="s">
        <v>154</v>
      </c>
      <c r="G61" t="s">
        <v>4</v>
      </c>
      <c r="H61">
        <v>15.7</v>
      </c>
      <c r="I61">
        <v>54</v>
      </c>
      <c r="J61">
        <v>411</v>
      </c>
      <c r="K61" t="s">
        <v>33</v>
      </c>
      <c r="L61" t="s">
        <v>78</v>
      </c>
      <c r="M61" t="s">
        <v>44</v>
      </c>
      <c r="N61">
        <v>5</v>
      </c>
      <c r="O61">
        <v>4.9000000000000004</v>
      </c>
    </row>
    <row r="62" spans="1:15" x14ac:dyDescent="0.3">
      <c r="A62" t="s">
        <v>266</v>
      </c>
      <c r="B62" t="s">
        <v>232</v>
      </c>
      <c r="C62" t="s">
        <v>267</v>
      </c>
      <c r="D62" t="s">
        <v>81</v>
      </c>
      <c r="E62" t="s">
        <v>268</v>
      </c>
      <c r="F62" t="s">
        <v>83</v>
      </c>
      <c r="G62" t="s">
        <v>7</v>
      </c>
      <c r="H62">
        <v>6.3</v>
      </c>
      <c r="I62">
        <v>16</v>
      </c>
      <c r="J62">
        <v>228</v>
      </c>
      <c r="K62" t="s">
        <v>33</v>
      </c>
      <c r="L62" t="s">
        <v>49</v>
      </c>
      <c r="M62" t="s">
        <v>44</v>
      </c>
      <c r="N62">
        <v>4.8</v>
      </c>
      <c r="O62">
        <v>4.9000000000000004</v>
      </c>
    </row>
    <row r="63" spans="1:15" x14ac:dyDescent="0.3">
      <c r="A63" t="s">
        <v>269</v>
      </c>
      <c r="B63" t="s">
        <v>270</v>
      </c>
      <c r="C63" t="s">
        <v>271</v>
      </c>
      <c r="D63" t="s">
        <v>81</v>
      </c>
      <c r="E63" t="s">
        <v>82</v>
      </c>
      <c r="F63" t="s">
        <v>83</v>
      </c>
      <c r="G63" t="s">
        <v>6</v>
      </c>
      <c r="H63">
        <v>7.5</v>
      </c>
      <c r="I63">
        <v>21</v>
      </c>
      <c r="J63">
        <v>161</v>
      </c>
      <c r="K63" t="s">
        <v>33</v>
      </c>
      <c r="L63" t="s">
        <v>78</v>
      </c>
      <c r="M63" t="s">
        <v>44</v>
      </c>
      <c r="N63">
        <v>5</v>
      </c>
      <c r="O63">
        <v>4.5</v>
      </c>
    </row>
    <row r="64" spans="1:15" x14ac:dyDescent="0.3">
      <c r="A64" t="s">
        <v>272</v>
      </c>
      <c r="B64" t="s">
        <v>273</v>
      </c>
      <c r="C64" t="s">
        <v>274</v>
      </c>
      <c r="D64" t="s">
        <v>30</v>
      </c>
      <c r="E64" t="s">
        <v>101</v>
      </c>
      <c r="F64" t="s">
        <v>31</v>
      </c>
      <c r="G64" t="s">
        <v>2</v>
      </c>
      <c r="H64">
        <v>11.3</v>
      </c>
      <c r="I64">
        <v>41</v>
      </c>
      <c r="J64">
        <v>211</v>
      </c>
      <c r="K64" t="s">
        <v>102</v>
      </c>
      <c r="L64" t="s">
        <v>71</v>
      </c>
      <c r="M64" t="s">
        <v>44</v>
      </c>
      <c r="N64">
        <v>5</v>
      </c>
      <c r="O64">
        <v>4.5999999999999996</v>
      </c>
    </row>
    <row r="65" spans="1:15" x14ac:dyDescent="0.3">
      <c r="A65" t="s">
        <v>275</v>
      </c>
      <c r="B65" t="s">
        <v>276</v>
      </c>
      <c r="C65" t="s">
        <v>277</v>
      </c>
      <c r="D65" t="s">
        <v>39</v>
      </c>
      <c r="E65" t="s">
        <v>278</v>
      </c>
      <c r="F65" t="s">
        <v>41</v>
      </c>
      <c r="G65" t="s">
        <v>2</v>
      </c>
      <c r="H65">
        <v>4.0999999999999996</v>
      </c>
      <c r="I65">
        <v>7</v>
      </c>
      <c r="J65">
        <v>102</v>
      </c>
      <c r="K65" t="s">
        <v>33</v>
      </c>
      <c r="L65" t="s">
        <v>49</v>
      </c>
      <c r="M65" t="s">
        <v>44</v>
      </c>
      <c r="N65">
        <v>5</v>
      </c>
      <c r="O65">
        <v>4.7</v>
      </c>
    </row>
    <row r="66" spans="1:15" x14ac:dyDescent="0.3">
      <c r="A66" t="s">
        <v>279</v>
      </c>
      <c r="B66" t="s">
        <v>46</v>
      </c>
      <c r="C66" t="s">
        <v>280</v>
      </c>
      <c r="D66" t="s">
        <v>68</v>
      </c>
      <c r="E66" t="s">
        <v>69</v>
      </c>
      <c r="F66" t="s">
        <v>172</v>
      </c>
      <c r="G66" t="s">
        <v>7</v>
      </c>
      <c r="H66">
        <v>2.5</v>
      </c>
      <c r="I66">
        <v>8</v>
      </c>
      <c r="J66">
        <v>120</v>
      </c>
      <c r="K66" t="s">
        <v>33</v>
      </c>
      <c r="L66" t="s">
        <v>49</v>
      </c>
      <c r="M66" t="s">
        <v>44</v>
      </c>
      <c r="N66">
        <v>5</v>
      </c>
      <c r="O66">
        <v>4.5999999999999996</v>
      </c>
    </row>
    <row r="67" spans="1:15" x14ac:dyDescent="0.3">
      <c r="A67" t="s">
        <v>281</v>
      </c>
      <c r="B67" t="s">
        <v>181</v>
      </c>
      <c r="C67" t="s">
        <v>282</v>
      </c>
      <c r="D67" t="s">
        <v>158</v>
      </c>
      <c r="E67" t="s">
        <v>283</v>
      </c>
      <c r="F67" t="s">
        <v>284</v>
      </c>
      <c r="G67" t="s">
        <v>6</v>
      </c>
      <c r="H67">
        <v>1</v>
      </c>
      <c r="I67">
        <v>5</v>
      </c>
      <c r="J67">
        <v>53</v>
      </c>
      <c r="K67" t="s">
        <v>33</v>
      </c>
      <c r="L67" t="s">
        <v>49</v>
      </c>
      <c r="M67" t="s">
        <v>44</v>
      </c>
      <c r="N67">
        <v>4.5</v>
      </c>
      <c r="O67">
        <v>4.5999999999999996</v>
      </c>
    </row>
    <row r="68" spans="1:15" x14ac:dyDescent="0.3">
      <c r="A68" t="s">
        <v>285</v>
      </c>
      <c r="B68" t="s">
        <v>286</v>
      </c>
      <c r="C68" t="s">
        <v>287</v>
      </c>
      <c r="D68" t="s">
        <v>39</v>
      </c>
      <c r="E68" t="s">
        <v>41</v>
      </c>
      <c r="F68" t="s">
        <v>154</v>
      </c>
      <c r="G68" t="s">
        <v>7</v>
      </c>
      <c r="H68">
        <v>19</v>
      </c>
      <c r="I68">
        <v>64</v>
      </c>
      <c r="J68">
        <v>403</v>
      </c>
      <c r="K68" t="s">
        <v>33</v>
      </c>
      <c r="L68" t="s">
        <v>78</v>
      </c>
      <c r="M68" t="s">
        <v>44</v>
      </c>
      <c r="N68">
        <v>4.7</v>
      </c>
      <c r="O68">
        <v>4.8</v>
      </c>
    </row>
    <row r="69" spans="1:15" x14ac:dyDescent="0.3">
      <c r="A69" t="s">
        <v>288</v>
      </c>
      <c r="B69" t="s">
        <v>37</v>
      </c>
      <c r="C69" t="s">
        <v>289</v>
      </c>
      <c r="D69" t="s">
        <v>106</v>
      </c>
      <c r="E69" t="s">
        <v>290</v>
      </c>
      <c r="F69" t="s">
        <v>107</v>
      </c>
      <c r="G69" t="s">
        <v>2</v>
      </c>
      <c r="H69">
        <v>7.4</v>
      </c>
      <c r="I69">
        <v>12</v>
      </c>
      <c r="J69">
        <v>136</v>
      </c>
      <c r="K69" t="s">
        <v>33</v>
      </c>
      <c r="L69" t="s">
        <v>43</v>
      </c>
      <c r="M69" t="s">
        <v>44</v>
      </c>
      <c r="N69">
        <v>4.9000000000000004</v>
      </c>
      <c r="O69">
        <v>4.9000000000000004</v>
      </c>
    </row>
    <row r="70" spans="1:15" x14ac:dyDescent="0.3">
      <c r="A70" t="s">
        <v>291</v>
      </c>
      <c r="B70" t="s">
        <v>200</v>
      </c>
      <c r="C70" t="s">
        <v>292</v>
      </c>
      <c r="D70" t="s">
        <v>61</v>
      </c>
      <c r="E70" t="s">
        <v>96</v>
      </c>
      <c r="F70" t="s">
        <v>95</v>
      </c>
      <c r="G70" t="s">
        <v>2</v>
      </c>
      <c r="H70">
        <v>3.2</v>
      </c>
      <c r="I70">
        <v>13</v>
      </c>
      <c r="J70">
        <v>98</v>
      </c>
      <c r="K70" t="s">
        <v>33</v>
      </c>
      <c r="L70" t="s">
        <v>64</v>
      </c>
      <c r="M70" t="s">
        <v>44</v>
      </c>
      <c r="N70">
        <v>4.4000000000000004</v>
      </c>
      <c r="O70">
        <v>4.5999999999999996</v>
      </c>
    </row>
    <row r="71" spans="1:15" x14ac:dyDescent="0.3">
      <c r="A71" t="s">
        <v>293</v>
      </c>
      <c r="B71" t="s">
        <v>294</v>
      </c>
      <c r="C71" t="s">
        <v>295</v>
      </c>
      <c r="D71" t="s">
        <v>81</v>
      </c>
      <c r="E71" t="s">
        <v>82</v>
      </c>
      <c r="F71" t="s">
        <v>268</v>
      </c>
      <c r="G71" t="s">
        <v>7</v>
      </c>
      <c r="H71">
        <v>14.5</v>
      </c>
      <c r="I71">
        <v>30</v>
      </c>
      <c r="J71">
        <v>514</v>
      </c>
      <c r="K71" t="s">
        <v>56</v>
      </c>
      <c r="L71" t="s">
        <v>43</v>
      </c>
      <c r="M71" t="s">
        <v>44</v>
      </c>
      <c r="N71">
        <v>4.8</v>
      </c>
      <c r="O71">
        <v>4.8</v>
      </c>
    </row>
    <row r="72" spans="1:15" x14ac:dyDescent="0.3">
      <c r="A72" t="s">
        <v>296</v>
      </c>
      <c r="B72" t="s">
        <v>297</v>
      </c>
      <c r="C72" t="s">
        <v>298</v>
      </c>
      <c r="D72" t="s">
        <v>75</v>
      </c>
      <c r="E72" t="s">
        <v>77</v>
      </c>
      <c r="F72" t="s">
        <v>230</v>
      </c>
      <c r="G72" t="s">
        <v>2</v>
      </c>
      <c r="H72">
        <v>8.8000000000000007</v>
      </c>
      <c r="I72">
        <v>19</v>
      </c>
      <c r="J72">
        <v>135</v>
      </c>
      <c r="K72" t="s">
        <v>33</v>
      </c>
      <c r="L72" t="s">
        <v>49</v>
      </c>
      <c r="M72" t="s">
        <v>44</v>
      </c>
      <c r="N72">
        <v>4.4000000000000004</v>
      </c>
      <c r="O72">
        <v>4.8</v>
      </c>
    </row>
    <row r="73" spans="1:15" x14ac:dyDescent="0.3">
      <c r="A73" t="s">
        <v>299</v>
      </c>
      <c r="B73" t="s">
        <v>300</v>
      </c>
      <c r="C73" t="s">
        <v>301</v>
      </c>
      <c r="D73" t="s">
        <v>61</v>
      </c>
      <c r="E73" t="s">
        <v>95</v>
      </c>
      <c r="F73" t="s">
        <v>62</v>
      </c>
      <c r="G73" t="s">
        <v>2</v>
      </c>
      <c r="H73">
        <v>1</v>
      </c>
      <c r="I73">
        <v>7</v>
      </c>
      <c r="J73">
        <v>73</v>
      </c>
      <c r="K73" t="s">
        <v>33</v>
      </c>
      <c r="L73" t="s">
        <v>71</v>
      </c>
      <c r="M73" t="s">
        <v>44</v>
      </c>
      <c r="N73">
        <v>4.9000000000000004</v>
      </c>
      <c r="O73">
        <v>5</v>
      </c>
    </row>
    <row r="74" spans="1:15" x14ac:dyDescent="0.3">
      <c r="A74" t="s">
        <v>302</v>
      </c>
      <c r="B74" t="s">
        <v>303</v>
      </c>
      <c r="C74" t="s">
        <v>304</v>
      </c>
      <c r="D74" t="s">
        <v>68</v>
      </c>
      <c r="E74" t="s">
        <v>120</v>
      </c>
      <c r="F74" t="s">
        <v>70</v>
      </c>
      <c r="G74" t="s">
        <v>6</v>
      </c>
      <c r="H74">
        <v>12.7</v>
      </c>
      <c r="I74">
        <v>37</v>
      </c>
      <c r="J74">
        <v>226</v>
      </c>
      <c r="K74" t="s">
        <v>33</v>
      </c>
      <c r="L74" t="s">
        <v>49</v>
      </c>
      <c r="M74" t="s">
        <v>44</v>
      </c>
      <c r="N74">
        <v>4.3</v>
      </c>
      <c r="O74">
        <v>4.9000000000000004</v>
      </c>
    </row>
    <row r="75" spans="1:15" x14ac:dyDescent="0.3">
      <c r="A75" t="s">
        <v>305</v>
      </c>
      <c r="B75" t="s">
        <v>306</v>
      </c>
      <c r="C75" t="s">
        <v>307</v>
      </c>
      <c r="D75" t="s">
        <v>30</v>
      </c>
      <c r="E75" t="s">
        <v>112</v>
      </c>
      <c r="F75" t="s">
        <v>142</v>
      </c>
      <c r="G75" t="s">
        <v>4</v>
      </c>
      <c r="H75">
        <v>9.6999999999999993</v>
      </c>
      <c r="I75">
        <v>23</v>
      </c>
      <c r="J75">
        <v>412</v>
      </c>
      <c r="K75" t="s">
        <v>102</v>
      </c>
      <c r="L75" t="s">
        <v>43</v>
      </c>
      <c r="M75" t="s">
        <v>44</v>
      </c>
      <c r="N75">
        <v>4.9000000000000004</v>
      </c>
      <c r="O75">
        <v>4.7</v>
      </c>
    </row>
    <row r="76" spans="1:15" x14ac:dyDescent="0.3">
      <c r="A76" t="s">
        <v>308</v>
      </c>
      <c r="B76" t="s">
        <v>309</v>
      </c>
      <c r="C76" t="s">
        <v>310</v>
      </c>
      <c r="D76" t="s">
        <v>81</v>
      </c>
      <c r="E76" t="s">
        <v>83</v>
      </c>
      <c r="F76" t="s">
        <v>91</v>
      </c>
      <c r="G76" t="s">
        <v>4</v>
      </c>
      <c r="H76">
        <v>7.1</v>
      </c>
      <c r="I76">
        <v>22</v>
      </c>
      <c r="J76">
        <v>335</v>
      </c>
      <c r="K76" t="s">
        <v>42</v>
      </c>
      <c r="L76" t="s">
        <v>43</v>
      </c>
      <c r="M76" t="s">
        <v>44</v>
      </c>
      <c r="N76">
        <v>4.3</v>
      </c>
      <c r="O76">
        <v>4.7</v>
      </c>
    </row>
    <row r="77" spans="1:15" x14ac:dyDescent="0.3">
      <c r="A77" t="s">
        <v>311</v>
      </c>
      <c r="B77" t="s">
        <v>208</v>
      </c>
      <c r="C77" t="s">
        <v>312</v>
      </c>
      <c r="D77" t="s">
        <v>75</v>
      </c>
      <c r="E77" t="s">
        <v>313</v>
      </c>
      <c r="F77" t="s">
        <v>76</v>
      </c>
      <c r="G77" t="s">
        <v>6</v>
      </c>
      <c r="H77">
        <v>1.2</v>
      </c>
      <c r="I77">
        <v>10</v>
      </c>
      <c r="J77">
        <v>69</v>
      </c>
      <c r="K77" t="s">
        <v>42</v>
      </c>
      <c r="L77" t="s">
        <v>78</v>
      </c>
      <c r="M77" t="s">
        <v>44</v>
      </c>
      <c r="N77">
        <v>4.9000000000000004</v>
      </c>
      <c r="O77">
        <v>4.8</v>
      </c>
    </row>
    <row r="78" spans="1:15" x14ac:dyDescent="0.3">
      <c r="A78" t="s">
        <v>314</v>
      </c>
      <c r="B78" t="s">
        <v>46</v>
      </c>
      <c r="C78" t="s">
        <v>315</v>
      </c>
      <c r="D78" t="s">
        <v>158</v>
      </c>
      <c r="E78" t="s">
        <v>283</v>
      </c>
      <c r="F78" t="s">
        <v>316</v>
      </c>
      <c r="G78" t="s">
        <v>7</v>
      </c>
      <c r="H78">
        <v>2</v>
      </c>
      <c r="I78">
        <v>6</v>
      </c>
      <c r="J78">
        <v>129</v>
      </c>
      <c r="K78" t="s">
        <v>33</v>
      </c>
      <c r="L78" t="s">
        <v>71</v>
      </c>
      <c r="M78" t="s">
        <v>44</v>
      </c>
      <c r="N78">
        <v>4.9000000000000004</v>
      </c>
      <c r="O78">
        <v>4.8</v>
      </c>
    </row>
    <row r="79" spans="1:15" x14ac:dyDescent="0.3">
      <c r="A79" t="s">
        <v>317</v>
      </c>
      <c r="B79" t="s">
        <v>114</v>
      </c>
      <c r="C79" t="s">
        <v>318</v>
      </c>
      <c r="D79" t="s">
        <v>158</v>
      </c>
      <c r="E79" t="s">
        <v>283</v>
      </c>
      <c r="F79" t="s">
        <v>319</v>
      </c>
      <c r="G79" t="s">
        <v>5</v>
      </c>
      <c r="H79">
        <v>13.6</v>
      </c>
      <c r="I79">
        <v>37</v>
      </c>
      <c r="J79">
        <v>423</v>
      </c>
      <c r="K79" t="s">
        <v>33</v>
      </c>
      <c r="L79" t="s">
        <v>43</v>
      </c>
      <c r="M79" t="s">
        <v>44</v>
      </c>
      <c r="N79">
        <v>4.5999999999999996</v>
      </c>
      <c r="O79">
        <v>4.7</v>
      </c>
    </row>
    <row r="80" spans="1:15" x14ac:dyDescent="0.3">
      <c r="A80" t="s">
        <v>320</v>
      </c>
      <c r="B80" t="s">
        <v>174</v>
      </c>
      <c r="C80" t="s">
        <v>321</v>
      </c>
      <c r="D80" t="s">
        <v>158</v>
      </c>
      <c r="E80" t="s">
        <v>160</v>
      </c>
      <c r="F80" t="s">
        <v>262</v>
      </c>
      <c r="G80" t="s">
        <v>4</v>
      </c>
      <c r="H80">
        <v>5.2</v>
      </c>
      <c r="I80">
        <v>22</v>
      </c>
      <c r="J80">
        <v>238</v>
      </c>
      <c r="K80" t="s">
        <v>102</v>
      </c>
      <c r="L80" t="s">
        <v>43</v>
      </c>
      <c r="M80" t="s">
        <v>44</v>
      </c>
      <c r="N80">
        <v>4.9000000000000004</v>
      </c>
      <c r="O80">
        <v>4.9000000000000004</v>
      </c>
    </row>
    <row r="81" spans="1:15" x14ac:dyDescent="0.3">
      <c r="A81" t="s">
        <v>322</v>
      </c>
      <c r="B81" t="s">
        <v>163</v>
      </c>
      <c r="C81" t="s">
        <v>323</v>
      </c>
      <c r="D81" t="s">
        <v>39</v>
      </c>
      <c r="E81" t="s">
        <v>154</v>
      </c>
      <c r="F81" t="s">
        <v>278</v>
      </c>
      <c r="G81" t="s">
        <v>3</v>
      </c>
      <c r="H81">
        <v>10.6</v>
      </c>
      <c r="I81">
        <v>27</v>
      </c>
      <c r="J81">
        <v>446</v>
      </c>
      <c r="K81" t="s">
        <v>42</v>
      </c>
      <c r="L81" t="s">
        <v>161</v>
      </c>
      <c r="M81" t="s">
        <v>35</v>
      </c>
      <c r="N81">
        <v>5</v>
      </c>
      <c r="O81">
        <v>5</v>
      </c>
    </row>
    <row r="82" spans="1:15" x14ac:dyDescent="0.3">
      <c r="A82" t="s">
        <v>324</v>
      </c>
      <c r="B82" t="s">
        <v>306</v>
      </c>
      <c r="C82" t="s">
        <v>325</v>
      </c>
      <c r="D82" t="s">
        <v>68</v>
      </c>
      <c r="E82" t="s">
        <v>120</v>
      </c>
      <c r="F82" t="s">
        <v>130</v>
      </c>
      <c r="G82" t="s">
        <v>6</v>
      </c>
      <c r="H82">
        <v>4.9000000000000004</v>
      </c>
      <c r="I82">
        <v>10</v>
      </c>
      <c r="J82">
        <v>166</v>
      </c>
      <c r="K82" t="s">
        <v>33</v>
      </c>
      <c r="L82" t="s">
        <v>71</v>
      </c>
      <c r="M82" t="s">
        <v>44</v>
      </c>
      <c r="N82">
        <v>4.4000000000000004</v>
      </c>
      <c r="O82">
        <v>4.5999999999999996</v>
      </c>
    </row>
    <row r="83" spans="1:15" x14ac:dyDescent="0.3">
      <c r="A83" t="s">
        <v>326</v>
      </c>
      <c r="B83" t="s">
        <v>264</v>
      </c>
      <c r="C83" t="s">
        <v>327</v>
      </c>
      <c r="D83" t="s">
        <v>61</v>
      </c>
      <c r="E83" t="s">
        <v>328</v>
      </c>
      <c r="F83" t="s">
        <v>62</v>
      </c>
      <c r="G83" t="s">
        <v>5</v>
      </c>
      <c r="H83">
        <v>1</v>
      </c>
      <c r="I83">
        <v>5</v>
      </c>
      <c r="J83">
        <v>99</v>
      </c>
      <c r="K83" t="s">
        <v>102</v>
      </c>
      <c r="L83" t="s">
        <v>161</v>
      </c>
      <c r="M83" t="s">
        <v>35</v>
      </c>
      <c r="N83">
        <v>4.5999999999999996</v>
      </c>
      <c r="O83">
        <v>4.8</v>
      </c>
    </row>
    <row r="84" spans="1:15" x14ac:dyDescent="0.3">
      <c r="A84" t="s">
        <v>329</v>
      </c>
      <c r="B84" t="s">
        <v>330</v>
      </c>
      <c r="C84" t="s">
        <v>331</v>
      </c>
      <c r="D84" t="s">
        <v>39</v>
      </c>
      <c r="E84" t="s">
        <v>155</v>
      </c>
      <c r="F84" t="s">
        <v>154</v>
      </c>
      <c r="G84" t="s">
        <v>6</v>
      </c>
      <c r="H84">
        <v>10.3</v>
      </c>
      <c r="I84">
        <v>30</v>
      </c>
      <c r="J84">
        <v>232</v>
      </c>
      <c r="K84" t="s">
        <v>33</v>
      </c>
      <c r="L84" t="s">
        <v>34</v>
      </c>
      <c r="M84" t="s">
        <v>35</v>
      </c>
      <c r="N84">
        <v>4.5999999999999996</v>
      </c>
      <c r="O84">
        <v>4.7</v>
      </c>
    </row>
    <row r="85" spans="1:15" x14ac:dyDescent="0.3">
      <c r="A85" t="s">
        <v>332</v>
      </c>
      <c r="B85" t="s">
        <v>104</v>
      </c>
      <c r="C85" t="s">
        <v>333</v>
      </c>
      <c r="D85" t="s">
        <v>158</v>
      </c>
      <c r="E85" t="s">
        <v>160</v>
      </c>
      <c r="F85" t="s">
        <v>334</v>
      </c>
      <c r="G85" t="s">
        <v>2</v>
      </c>
      <c r="H85">
        <v>3.1</v>
      </c>
      <c r="I85">
        <v>5</v>
      </c>
      <c r="J85">
        <v>76</v>
      </c>
      <c r="K85" t="s">
        <v>102</v>
      </c>
      <c r="L85" t="s">
        <v>43</v>
      </c>
      <c r="M85" t="s">
        <v>44</v>
      </c>
      <c r="N85">
        <v>4.9000000000000004</v>
      </c>
      <c r="O85">
        <v>4.8</v>
      </c>
    </row>
    <row r="86" spans="1:15" x14ac:dyDescent="0.3">
      <c r="A86" t="s">
        <v>335</v>
      </c>
      <c r="B86" t="s">
        <v>330</v>
      </c>
      <c r="C86" t="s">
        <v>336</v>
      </c>
      <c r="D86" t="s">
        <v>81</v>
      </c>
      <c r="E86" t="s">
        <v>134</v>
      </c>
      <c r="F86" t="s">
        <v>90</v>
      </c>
      <c r="G86" t="s">
        <v>3</v>
      </c>
      <c r="H86">
        <v>1.6</v>
      </c>
      <c r="I86">
        <v>8</v>
      </c>
      <c r="J86">
        <v>206</v>
      </c>
      <c r="K86" t="s">
        <v>33</v>
      </c>
      <c r="L86" t="s">
        <v>64</v>
      </c>
      <c r="M86" t="s">
        <v>44</v>
      </c>
      <c r="N86">
        <v>4.5</v>
      </c>
      <c r="O86">
        <v>4.8</v>
      </c>
    </row>
    <row r="87" spans="1:15" x14ac:dyDescent="0.3">
      <c r="A87" t="s">
        <v>337</v>
      </c>
      <c r="B87" t="s">
        <v>118</v>
      </c>
      <c r="C87" t="s">
        <v>338</v>
      </c>
      <c r="D87" t="s">
        <v>30</v>
      </c>
      <c r="E87" t="s">
        <v>31</v>
      </c>
      <c r="F87" t="s">
        <v>100</v>
      </c>
      <c r="G87" t="s">
        <v>4</v>
      </c>
      <c r="H87">
        <v>3.3</v>
      </c>
      <c r="I87">
        <v>12</v>
      </c>
      <c r="J87">
        <v>172</v>
      </c>
      <c r="K87" t="s">
        <v>42</v>
      </c>
      <c r="L87" t="s">
        <v>43</v>
      </c>
      <c r="M87" t="s">
        <v>44</v>
      </c>
      <c r="N87">
        <v>5</v>
      </c>
      <c r="O87">
        <v>5</v>
      </c>
    </row>
    <row r="88" spans="1:15" x14ac:dyDescent="0.3">
      <c r="A88" t="s">
        <v>339</v>
      </c>
      <c r="B88" t="s">
        <v>340</v>
      </c>
      <c r="C88" t="s">
        <v>341</v>
      </c>
      <c r="D88" t="s">
        <v>30</v>
      </c>
      <c r="E88" t="s">
        <v>138</v>
      </c>
      <c r="F88" t="s">
        <v>179</v>
      </c>
      <c r="G88" t="s">
        <v>7</v>
      </c>
      <c r="H88">
        <v>4.3</v>
      </c>
      <c r="I88">
        <v>16</v>
      </c>
      <c r="J88">
        <v>195</v>
      </c>
      <c r="K88" t="s">
        <v>42</v>
      </c>
      <c r="L88" t="s">
        <v>78</v>
      </c>
      <c r="M88" t="s">
        <v>44</v>
      </c>
      <c r="N88">
        <v>4.8</v>
      </c>
      <c r="O88">
        <v>4.9000000000000004</v>
      </c>
    </row>
    <row r="89" spans="1:15" x14ac:dyDescent="0.3">
      <c r="A89" t="s">
        <v>342</v>
      </c>
      <c r="B89" t="s">
        <v>208</v>
      </c>
      <c r="C89" t="s">
        <v>343</v>
      </c>
      <c r="D89" t="s">
        <v>158</v>
      </c>
      <c r="E89" t="s">
        <v>159</v>
      </c>
      <c r="F89" t="s">
        <v>319</v>
      </c>
      <c r="G89" t="s">
        <v>7</v>
      </c>
      <c r="H89">
        <v>3.9</v>
      </c>
      <c r="I89">
        <v>13</v>
      </c>
      <c r="J89">
        <v>140</v>
      </c>
      <c r="K89" t="s">
        <v>33</v>
      </c>
      <c r="L89" t="s">
        <v>78</v>
      </c>
      <c r="M89" t="s">
        <v>44</v>
      </c>
      <c r="N89">
        <v>4.7</v>
      </c>
      <c r="O89">
        <v>5</v>
      </c>
    </row>
    <row r="90" spans="1:15" x14ac:dyDescent="0.3">
      <c r="A90" t="s">
        <v>344</v>
      </c>
      <c r="B90" t="s">
        <v>166</v>
      </c>
      <c r="C90" t="s">
        <v>345</v>
      </c>
      <c r="D90" t="s">
        <v>75</v>
      </c>
      <c r="E90" t="s">
        <v>239</v>
      </c>
      <c r="F90" t="s">
        <v>146</v>
      </c>
      <c r="G90" t="s">
        <v>6</v>
      </c>
      <c r="H90">
        <v>3.4</v>
      </c>
      <c r="I90">
        <v>13</v>
      </c>
      <c r="J90">
        <v>149</v>
      </c>
      <c r="K90" t="s">
        <v>102</v>
      </c>
      <c r="L90" t="s">
        <v>71</v>
      </c>
      <c r="M90" t="s">
        <v>44</v>
      </c>
      <c r="N90">
        <v>4.9000000000000004</v>
      </c>
      <c r="O90">
        <v>4.5</v>
      </c>
    </row>
    <row r="91" spans="1:15" x14ac:dyDescent="0.3">
      <c r="A91" t="s">
        <v>346</v>
      </c>
      <c r="B91" t="s">
        <v>297</v>
      </c>
      <c r="C91" t="s">
        <v>347</v>
      </c>
      <c r="D91" t="s">
        <v>158</v>
      </c>
      <c r="E91" t="s">
        <v>283</v>
      </c>
      <c r="F91" t="s">
        <v>316</v>
      </c>
      <c r="G91" t="s">
        <v>4</v>
      </c>
      <c r="H91">
        <v>9.5</v>
      </c>
      <c r="I91">
        <v>24</v>
      </c>
      <c r="J91">
        <v>333</v>
      </c>
      <c r="K91" t="s">
        <v>33</v>
      </c>
      <c r="L91" t="s">
        <v>64</v>
      </c>
      <c r="M91" t="s">
        <v>44</v>
      </c>
      <c r="N91">
        <v>4.7</v>
      </c>
      <c r="O91">
        <v>5</v>
      </c>
    </row>
    <row r="92" spans="1:15" x14ac:dyDescent="0.3">
      <c r="A92" t="s">
        <v>348</v>
      </c>
      <c r="B92" t="s">
        <v>349</v>
      </c>
      <c r="C92" t="s">
        <v>350</v>
      </c>
      <c r="D92" t="s">
        <v>81</v>
      </c>
      <c r="E92" t="s">
        <v>351</v>
      </c>
      <c r="F92" t="s">
        <v>268</v>
      </c>
      <c r="G92" t="s">
        <v>7</v>
      </c>
      <c r="H92">
        <v>2.8</v>
      </c>
      <c r="I92">
        <v>6</v>
      </c>
      <c r="J92">
        <v>182</v>
      </c>
      <c r="K92" t="s">
        <v>42</v>
      </c>
      <c r="L92" t="s">
        <v>43</v>
      </c>
      <c r="M92" t="s">
        <v>44</v>
      </c>
      <c r="N92">
        <v>4.7</v>
      </c>
      <c r="O92">
        <v>4.4000000000000004</v>
      </c>
    </row>
    <row r="93" spans="1:15" x14ac:dyDescent="0.3">
      <c r="A93" t="s">
        <v>352</v>
      </c>
      <c r="B93" t="s">
        <v>51</v>
      </c>
      <c r="C93" t="s">
        <v>353</v>
      </c>
      <c r="D93" t="s">
        <v>106</v>
      </c>
      <c r="E93" t="s">
        <v>126</v>
      </c>
      <c r="F93" t="s">
        <v>290</v>
      </c>
      <c r="G93" t="s">
        <v>6</v>
      </c>
      <c r="H93">
        <v>2.2000000000000002</v>
      </c>
      <c r="I93">
        <v>6</v>
      </c>
      <c r="J93">
        <v>88</v>
      </c>
      <c r="K93" t="s">
        <v>192</v>
      </c>
      <c r="L93" t="s">
        <v>49</v>
      </c>
      <c r="M93" t="s">
        <v>44</v>
      </c>
      <c r="N93">
        <v>4.5999999999999996</v>
      </c>
      <c r="O93">
        <v>4.5</v>
      </c>
    </row>
    <row r="94" spans="1:15" x14ac:dyDescent="0.3">
      <c r="A94" t="s">
        <v>354</v>
      </c>
      <c r="B94" t="s">
        <v>93</v>
      </c>
      <c r="C94" t="s">
        <v>355</v>
      </c>
      <c r="D94" t="s">
        <v>39</v>
      </c>
      <c r="E94" t="s">
        <v>356</v>
      </c>
      <c r="F94" t="s">
        <v>41</v>
      </c>
      <c r="G94" t="s">
        <v>5</v>
      </c>
      <c r="H94">
        <v>11.7</v>
      </c>
      <c r="I94">
        <v>27</v>
      </c>
      <c r="J94">
        <v>312</v>
      </c>
      <c r="K94" t="s">
        <v>33</v>
      </c>
      <c r="L94" t="s">
        <v>49</v>
      </c>
      <c r="M94" t="s">
        <v>44</v>
      </c>
      <c r="N94">
        <v>4.9000000000000004</v>
      </c>
      <c r="O94">
        <v>4.8</v>
      </c>
    </row>
    <row r="95" spans="1:15" x14ac:dyDescent="0.3">
      <c r="A95" t="s">
        <v>357</v>
      </c>
      <c r="B95" t="s">
        <v>128</v>
      </c>
      <c r="C95" t="s">
        <v>358</v>
      </c>
      <c r="D95" t="s">
        <v>39</v>
      </c>
      <c r="E95" t="s">
        <v>41</v>
      </c>
      <c r="F95" t="s">
        <v>155</v>
      </c>
      <c r="G95" t="s">
        <v>7</v>
      </c>
      <c r="H95">
        <v>12.2</v>
      </c>
      <c r="I95">
        <v>29</v>
      </c>
      <c r="J95">
        <v>304</v>
      </c>
      <c r="K95" t="s">
        <v>42</v>
      </c>
      <c r="L95" t="s">
        <v>57</v>
      </c>
      <c r="M95" t="s">
        <v>35</v>
      </c>
      <c r="N95">
        <v>4.8</v>
      </c>
      <c r="O95">
        <v>4.9000000000000004</v>
      </c>
    </row>
    <row r="96" spans="1:15" x14ac:dyDescent="0.3">
      <c r="A96" t="s">
        <v>359</v>
      </c>
      <c r="B96" t="s">
        <v>243</v>
      </c>
      <c r="C96" t="s">
        <v>360</v>
      </c>
      <c r="D96" t="s">
        <v>106</v>
      </c>
      <c r="E96" t="s">
        <v>187</v>
      </c>
      <c r="F96" t="s">
        <v>108</v>
      </c>
      <c r="G96" t="s">
        <v>2</v>
      </c>
      <c r="H96">
        <v>5.8</v>
      </c>
      <c r="I96">
        <v>13</v>
      </c>
      <c r="J96">
        <v>110</v>
      </c>
      <c r="K96" t="s">
        <v>33</v>
      </c>
      <c r="L96" t="s">
        <v>64</v>
      </c>
      <c r="M96" t="s">
        <v>44</v>
      </c>
      <c r="N96">
        <v>4.8</v>
      </c>
      <c r="O96">
        <v>4.5999999999999996</v>
      </c>
    </row>
    <row r="97" spans="1:15" x14ac:dyDescent="0.3">
      <c r="A97" t="s">
        <v>361</v>
      </c>
      <c r="B97" t="s">
        <v>300</v>
      </c>
      <c r="C97" t="s">
        <v>362</v>
      </c>
      <c r="D97" t="s">
        <v>39</v>
      </c>
      <c r="E97" t="s">
        <v>356</v>
      </c>
      <c r="F97" t="s">
        <v>48</v>
      </c>
      <c r="G97" t="s">
        <v>2</v>
      </c>
      <c r="H97">
        <v>1</v>
      </c>
      <c r="I97">
        <v>8</v>
      </c>
      <c r="J97">
        <v>46</v>
      </c>
      <c r="K97" t="s">
        <v>42</v>
      </c>
      <c r="L97" t="s">
        <v>49</v>
      </c>
      <c r="M97" t="s">
        <v>44</v>
      </c>
      <c r="N97">
        <v>4.0999999999999996</v>
      </c>
      <c r="O97">
        <v>4.5</v>
      </c>
    </row>
    <row r="98" spans="1:15" x14ac:dyDescent="0.3">
      <c r="A98" t="s">
        <v>363</v>
      </c>
      <c r="B98" t="s">
        <v>110</v>
      </c>
      <c r="C98" t="s">
        <v>364</v>
      </c>
      <c r="D98" t="s">
        <v>75</v>
      </c>
      <c r="E98" t="s">
        <v>313</v>
      </c>
      <c r="F98" t="s">
        <v>146</v>
      </c>
      <c r="G98" t="s">
        <v>2</v>
      </c>
      <c r="H98">
        <v>7.1</v>
      </c>
      <c r="I98">
        <v>24</v>
      </c>
      <c r="J98">
        <v>150</v>
      </c>
      <c r="K98" t="s">
        <v>33</v>
      </c>
      <c r="L98" t="s">
        <v>71</v>
      </c>
      <c r="M98" t="s">
        <v>44</v>
      </c>
      <c r="N98">
        <v>4.8</v>
      </c>
      <c r="O98">
        <v>5</v>
      </c>
    </row>
    <row r="99" spans="1:15" x14ac:dyDescent="0.3">
      <c r="A99" t="s">
        <v>365</v>
      </c>
      <c r="B99" t="s">
        <v>208</v>
      </c>
      <c r="C99" t="s">
        <v>366</v>
      </c>
      <c r="D99" t="s">
        <v>30</v>
      </c>
      <c r="E99" t="s">
        <v>31</v>
      </c>
      <c r="F99" t="s">
        <v>179</v>
      </c>
      <c r="G99" t="s">
        <v>2</v>
      </c>
      <c r="H99">
        <v>3.4</v>
      </c>
      <c r="I99">
        <v>13</v>
      </c>
      <c r="J99">
        <v>90</v>
      </c>
      <c r="K99" t="s">
        <v>33</v>
      </c>
      <c r="L99" t="s">
        <v>49</v>
      </c>
      <c r="M99" t="s">
        <v>44</v>
      </c>
      <c r="N99">
        <v>4.9000000000000004</v>
      </c>
      <c r="O99">
        <v>4.7</v>
      </c>
    </row>
    <row r="100" spans="1:15" x14ac:dyDescent="0.3">
      <c r="A100" t="s">
        <v>367</v>
      </c>
      <c r="B100" t="s">
        <v>110</v>
      </c>
      <c r="C100" t="s">
        <v>368</v>
      </c>
      <c r="D100" t="s">
        <v>61</v>
      </c>
      <c r="E100" t="s">
        <v>95</v>
      </c>
      <c r="F100" t="s">
        <v>191</v>
      </c>
      <c r="G100" t="s">
        <v>4</v>
      </c>
      <c r="H100">
        <v>9.6999999999999993</v>
      </c>
      <c r="I100">
        <v>20</v>
      </c>
      <c r="J100">
        <v>319</v>
      </c>
      <c r="K100" t="s">
        <v>42</v>
      </c>
      <c r="L100" t="s">
        <v>78</v>
      </c>
      <c r="M100" t="s">
        <v>44</v>
      </c>
      <c r="N100">
        <v>4.8</v>
      </c>
      <c r="O100">
        <v>4.9000000000000004</v>
      </c>
    </row>
    <row r="101" spans="1:15" x14ac:dyDescent="0.3">
      <c r="A101" t="s">
        <v>369</v>
      </c>
      <c r="B101" t="s">
        <v>370</v>
      </c>
      <c r="C101" t="s">
        <v>371</v>
      </c>
      <c r="D101" t="s">
        <v>30</v>
      </c>
      <c r="E101" t="s">
        <v>100</v>
      </c>
      <c r="F101" t="s">
        <v>179</v>
      </c>
      <c r="G101" t="s">
        <v>2</v>
      </c>
      <c r="H101">
        <v>4.5</v>
      </c>
      <c r="I101">
        <v>20</v>
      </c>
      <c r="J101">
        <v>139</v>
      </c>
      <c r="K101" t="s">
        <v>42</v>
      </c>
      <c r="L101" t="s">
        <v>71</v>
      </c>
      <c r="M101" t="s">
        <v>44</v>
      </c>
      <c r="N101">
        <v>4.7</v>
      </c>
      <c r="O101">
        <v>4.7</v>
      </c>
    </row>
    <row r="102" spans="1:15" x14ac:dyDescent="0.3">
      <c r="A102" t="s">
        <v>372</v>
      </c>
      <c r="B102" t="s">
        <v>373</v>
      </c>
      <c r="C102" t="s">
        <v>374</v>
      </c>
      <c r="D102" t="s">
        <v>39</v>
      </c>
      <c r="E102" t="s">
        <v>48</v>
      </c>
      <c r="F102" t="s">
        <v>41</v>
      </c>
      <c r="G102" t="s">
        <v>6</v>
      </c>
      <c r="H102">
        <v>4.5</v>
      </c>
      <c r="I102">
        <v>13</v>
      </c>
      <c r="J102">
        <v>152</v>
      </c>
      <c r="K102" t="s">
        <v>375</v>
      </c>
      <c r="L102" t="s">
        <v>34</v>
      </c>
      <c r="M102" t="s">
        <v>35</v>
      </c>
      <c r="N102">
        <v>4.5</v>
      </c>
      <c r="O102">
        <v>5</v>
      </c>
    </row>
    <row r="103" spans="1:15" x14ac:dyDescent="0.3">
      <c r="A103" t="s">
        <v>376</v>
      </c>
      <c r="B103" t="s">
        <v>232</v>
      </c>
      <c r="C103" t="s">
        <v>377</v>
      </c>
      <c r="D103" t="s">
        <v>68</v>
      </c>
      <c r="E103" t="s">
        <v>195</v>
      </c>
      <c r="F103" t="s">
        <v>130</v>
      </c>
      <c r="G103" t="s">
        <v>2</v>
      </c>
      <c r="H103">
        <v>2.7</v>
      </c>
      <c r="I103">
        <v>10</v>
      </c>
      <c r="J103">
        <v>74</v>
      </c>
      <c r="K103" t="s">
        <v>33</v>
      </c>
      <c r="L103" t="s">
        <v>78</v>
      </c>
      <c r="M103" t="s">
        <v>44</v>
      </c>
      <c r="N103">
        <v>4.9000000000000004</v>
      </c>
      <c r="O103">
        <v>4.7</v>
      </c>
    </row>
    <row r="104" spans="1:15" x14ac:dyDescent="0.3">
      <c r="A104" t="s">
        <v>378</v>
      </c>
      <c r="B104" t="s">
        <v>136</v>
      </c>
      <c r="C104" t="s">
        <v>379</v>
      </c>
      <c r="D104" t="s">
        <v>30</v>
      </c>
      <c r="E104" t="s">
        <v>32</v>
      </c>
      <c r="F104" t="s">
        <v>31</v>
      </c>
      <c r="G104" t="s">
        <v>2</v>
      </c>
      <c r="H104">
        <v>11.6</v>
      </c>
      <c r="I104">
        <v>43</v>
      </c>
      <c r="J104">
        <v>168</v>
      </c>
      <c r="K104" t="s">
        <v>102</v>
      </c>
      <c r="L104" t="s">
        <v>34</v>
      </c>
      <c r="M104" t="s">
        <v>35</v>
      </c>
      <c r="N104">
        <v>4.3</v>
      </c>
      <c r="O104">
        <v>4.7</v>
      </c>
    </row>
    <row r="105" spans="1:15" x14ac:dyDescent="0.3">
      <c r="A105" t="s">
        <v>380</v>
      </c>
      <c r="B105" t="s">
        <v>73</v>
      </c>
      <c r="C105" t="s">
        <v>203</v>
      </c>
      <c r="D105" t="s">
        <v>68</v>
      </c>
      <c r="E105" t="s">
        <v>195</v>
      </c>
      <c r="F105" t="s">
        <v>120</v>
      </c>
      <c r="G105" t="s">
        <v>7</v>
      </c>
      <c r="H105">
        <v>15.6</v>
      </c>
      <c r="I105">
        <v>35</v>
      </c>
      <c r="J105">
        <v>540</v>
      </c>
      <c r="K105" t="s">
        <v>33</v>
      </c>
      <c r="L105" t="s">
        <v>64</v>
      </c>
      <c r="M105" t="s">
        <v>44</v>
      </c>
      <c r="N105">
        <v>4.5</v>
      </c>
      <c r="O105">
        <v>4.8</v>
      </c>
    </row>
    <row r="106" spans="1:15" x14ac:dyDescent="0.3">
      <c r="A106" t="s">
        <v>381</v>
      </c>
      <c r="B106" t="s">
        <v>208</v>
      </c>
      <c r="C106" t="s">
        <v>304</v>
      </c>
      <c r="D106" t="s">
        <v>75</v>
      </c>
      <c r="E106" t="s">
        <v>239</v>
      </c>
      <c r="F106" t="s">
        <v>146</v>
      </c>
      <c r="G106" t="s">
        <v>6</v>
      </c>
      <c r="H106">
        <v>13.9</v>
      </c>
      <c r="I106">
        <v>35</v>
      </c>
      <c r="J106">
        <v>303</v>
      </c>
      <c r="K106" t="s">
        <v>33</v>
      </c>
      <c r="L106" t="s">
        <v>49</v>
      </c>
      <c r="M106" t="s">
        <v>44</v>
      </c>
      <c r="N106">
        <v>4.9000000000000004</v>
      </c>
      <c r="O106">
        <v>4.5999999999999996</v>
      </c>
    </row>
    <row r="107" spans="1:15" x14ac:dyDescent="0.3">
      <c r="A107" t="s">
        <v>382</v>
      </c>
      <c r="B107" t="s">
        <v>46</v>
      </c>
      <c r="C107" t="s">
        <v>383</v>
      </c>
      <c r="D107" t="s">
        <v>158</v>
      </c>
      <c r="E107" t="s">
        <v>283</v>
      </c>
      <c r="F107" t="s">
        <v>334</v>
      </c>
      <c r="G107" t="s">
        <v>5</v>
      </c>
      <c r="H107">
        <v>1.6</v>
      </c>
      <c r="I107">
        <v>6</v>
      </c>
      <c r="J107">
        <v>108</v>
      </c>
      <c r="K107" t="s">
        <v>102</v>
      </c>
      <c r="L107" t="s">
        <v>64</v>
      </c>
      <c r="M107" t="s">
        <v>44</v>
      </c>
      <c r="N107">
        <v>4.5999999999999996</v>
      </c>
      <c r="O107">
        <v>4.5</v>
      </c>
    </row>
    <row r="108" spans="1:15" x14ac:dyDescent="0.3">
      <c r="A108" t="s">
        <v>384</v>
      </c>
      <c r="B108" t="s">
        <v>297</v>
      </c>
      <c r="C108" t="s">
        <v>385</v>
      </c>
      <c r="D108" t="s">
        <v>158</v>
      </c>
      <c r="E108" t="s">
        <v>262</v>
      </c>
      <c r="F108" t="s">
        <v>319</v>
      </c>
      <c r="G108" t="s">
        <v>2</v>
      </c>
      <c r="H108">
        <v>2.9</v>
      </c>
      <c r="I108">
        <v>8</v>
      </c>
      <c r="J108">
        <v>116</v>
      </c>
      <c r="K108" t="s">
        <v>42</v>
      </c>
      <c r="L108" t="s">
        <v>64</v>
      </c>
      <c r="M108" t="s">
        <v>44</v>
      </c>
      <c r="N108">
        <v>4.8</v>
      </c>
      <c r="O108">
        <v>5</v>
      </c>
    </row>
    <row r="109" spans="1:15" x14ac:dyDescent="0.3">
      <c r="A109" t="s">
        <v>386</v>
      </c>
      <c r="B109" t="s">
        <v>152</v>
      </c>
      <c r="C109" t="s">
        <v>387</v>
      </c>
      <c r="D109" t="s">
        <v>39</v>
      </c>
      <c r="E109" t="s">
        <v>155</v>
      </c>
      <c r="F109" t="s">
        <v>48</v>
      </c>
      <c r="G109" t="s">
        <v>6</v>
      </c>
      <c r="H109">
        <v>6.8</v>
      </c>
      <c r="I109">
        <v>22</v>
      </c>
      <c r="J109">
        <v>158</v>
      </c>
      <c r="K109" t="s">
        <v>33</v>
      </c>
      <c r="L109" t="s">
        <v>64</v>
      </c>
      <c r="M109" t="s">
        <v>44</v>
      </c>
      <c r="N109">
        <v>4.7</v>
      </c>
      <c r="O109">
        <v>4.8</v>
      </c>
    </row>
    <row r="110" spans="1:15" x14ac:dyDescent="0.3">
      <c r="A110" t="s">
        <v>388</v>
      </c>
      <c r="B110" t="s">
        <v>110</v>
      </c>
      <c r="C110" t="s">
        <v>389</v>
      </c>
      <c r="D110" t="s">
        <v>39</v>
      </c>
      <c r="E110" t="s">
        <v>48</v>
      </c>
      <c r="F110" t="s">
        <v>356</v>
      </c>
      <c r="G110" t="s">
        <v>5</v>
      </c>
      <c r="H110">
        <v>1</v>
      </c>
      <c r="I110">
        <v>8</v>
      </c>
      <c r="J110">
        <v>89</v>
      </c>
      <c r="K110" t="s">
        <v>102</v>
      </c>
      <c r="L110" t="s">
        <v>34</v>
      </c>
      <c r="M110" t="s">
        <v>35</v>
      </c>
      <c r="N110">
        <v>4.2</v>
      </c>
      <c r="O110">
        <v>5</v>
      </c>
    </row>
    <row r="111" spans="1:15" x14ac:dyDescent="0.3">
      <c r="A111" t="s">
        <v>390</v>
      </c>
      <c r="B111" t="s">
        <v>98</v>
      </c>
      <c r="C111" t="s">
        <v>391</v>
      </c>
      <c r="D111" t="s">
        <v>61</v>
      </c>
      <c r="E111" t="s">
        <v>191</v>
      </c>
      <c r="F111" t="s">
        <v>95</v>
      </c>
      <c r="G111" t="s">
        <v>6</v>
      </c>
      <c r="H111">
        <v>3</v>
      </c>
      <c r="I111">
        <v>10</v>
      </c>
      <c r="J111">
        <v>87</v>
      </c>
      <c r="K111" t="s">
        <v>42</v>
      </c>
      <c r="L111" t="s">
        <v>57</v>
      </c>
      <c r="M111" t="s">
        <v>35</v>
      </c>
      <c r="N111">
        <v>5</v>
      </c>
      <c r="O111">
        <v>4.8</v>
      </c>
    </row>
    <row r="112" spans="1:15" x14ac:dyDescent="0.3">
      <c r="A112" t="s">
        <v>392</v>
      </c>
      <c r="B112" t="s">
        <v>98</v>
      </c>
      <c r="C112" t="s">
        <v>393</v>
      </c>
      <c r="D112" t="s">
        <v>75</v>
      </c>
      <c r="E112" t="s">
        <v>394</v>
      </c>
      <c r="F112" t="s">
        <v>77</v>
      </c>
      <c r="G112" t="s">
        <v>4</v>
      </c>
      <c r="H112">
        <v>7.6</v>
      </c>
      <c r="I112">
        <v>21</v>
      </c>
      <c r="J112">
        <v>240</v>
      </c>
      <c r="K112" t="s">
        <v>102</v>
      </c>
      <c r="L112" t="s">
        <v>34</v>
      </c>
      <c r="M112" t="s">
        <v>35</v>
      </c>
      <c r="N112">
        <v>4.7</v>
      </c>
      <c r="O112">
        <v>4.9000000000000004</v>
      </c>
    </row>
    <row r="113" spans="1:15" x14ac:dyDescent="0.3">
      <c r="A113" t="s">
        <v>395</v>
      </c>
      <c r="B113" t="s">
        <v>373</v>
      </c>
      <c r="C113" t="s">
        <v>229</v>
      </c>
      <c r="D113" t="s">
        <v>39</v>
      </c>
      <c r="E113" t="s">
        <v>48</v>
      </c>
      <c r="F113" t="s">
        <v>41</v>
      </c>
      <c r="G113" t="s">
        <v>6</v>
      </c>
      <c r="H113">
        <v>3.5</v>
      </c>
      <c r="I113">
        <v>12</v>
      </c>
      <c r="J113">
        <v>100</v>
      </c>
      <c r="K113" t="s">
        <v>102</v>
      </c>
      <c r="L113" t="s">
        <v>78</v>
      </c>
      <c r="M113" t="s">
        <v>44</v>
      </c>
      <c r="N113">
        <v>4.8</v>
      </c>
      <c r="O113">
        <v>4.9000000000000004</v>
      </c>
    </row>
    <row r="114" spans="1:15" x14ac:dyDescent="0.3">
      <c r="A114" t="s">
        <v>396</v>
      </c>
      <c r="B114" t="s">
        <v>397</v>
      </c>
      <c r="C114" t="s">
        <v>398</v>
      </c>
      <c r="D114" t="s">
        <v>158</v>
      </c>
      <c r="E114" t="s">
        <v>319</v>
      </c>
      <c r="F114" t="s">
        <v>160</v>
      </c>
      <c r="G114" t="s">
        <v>6</v>
      </c>
      <c r="H114">
        <v>8.8000000000000007</v>
      </c>
      <c r="I114">
        <v>25</v>
      </c>
      <c r="J114">
        <v>284</v>
      </c>
      <c r="K114" t="s">
        <v>33</v>
      </c>
      <c r="L114" t="s">
        <v>71</v>
      </c>
      <c r="M114" t="s">
        <v>44</v>
      </c>
      <c r="N114">
        <v>5</v>
      </c>
      <c r="O114">
        <v>4.7</v>
      </c>
    </row>
    <row r="115" spans="1:15" x14ac:dyDescent="0.3">
      <c r="A115" t="s">
        <v>399</v>
      </c>
      <c r="B115" t="s">
        <v>400</v>
      </c>
      <c r="C115" t="s">
        <v>401</v>
      </c>
      <c r="D115" t="s">
        <v>81</v>
      </c>
      <c r="E115" t="s">
        <v>83</v>
      </c>
      <c r="F115" t="s">
        <v>268</v>
      </c>
      <c r="G115" t="s">
        <v>6</v>
      </c>
      <c r="H115">
        <v>2.1</v>
      </c>
      <c r="I115">
        <v>5</v>
      </c>
      <c r="J115">
        <v>80</v>
      </c>
      <c r="K115" t="s">
        <v>102</v>
      </c>
      <c r="L115" t="s">
        <v>161</v>
      </c>
      <c r="M115" t="s">
        <v>35</v>
      </c>
      <c r="N115">
        <v>4.4000000000000004</v>
      </c>
      <c r="O115">
        <v>5</v>
      </c>
    </row>
    <row r="116" spans="1:15" x14ac:dyDescent="0.3">
      <c r="A116" t="s">
        <v>402</v>
      </c>
      <c r="B116" t="s">
        <v>403</v>
      </c>
      <c r="C116" t="s">
        <v>404</v>
      </c>
      <c r="D116" t="s">
        <v>53</v>
      </c>
      <c r="E116" t="s">
        <v>405</v>
      </c>
      <c r="F116" t="s">
        <v>236</v>
      </c>
      <c r="G116" t="s">
        <v>3</v>
      </c>
      <c r="H116">
        <v>12.6</v>
      </c>
      <c r="I116">
        <v>25</v>
      </c>
      <c r="J116">
        <v>544</v>
      </c>
      <c r="K116" t="s">
        <v>42</v>
      </c>
      <c r="L116" t="s">
        <v>43</v>
      </c>
      <c r="M116" t="s">
        <v>44</v>
      </c>
      <c r="N116">
        <v>5</v>
      </c>
      <c r="O116">
        <v>4.9000000000000004</v>
      </c>
    </row>
    <row r="117" spans="1:15" x14ac:dyDescent="0.3">
      <c r="A117" t="s">
        <v>406</v>
      </c>
      <c r="B117" t="s">
        <v>407</v>
      </c>
      <c r="C117" t="s">
        <v>408</v>
      </c>
      <c r="D117" t="s">
        <v>75</v>
      </c>
      <c r="E117" t="s">
        <v>239</v>
      </c>
      <c r="F117" t="s">
        <v>76</v>
      </c>
      <c r="G117" t="s">
        <v>5</v>
      </c>
      <c r="H117">
        <v>5.4</v>
      </c>
      <c r="I117">
        <v>20</v>
      </c>
      <c r="J117">
        <v>178</v>
      </c>
      <c r="K117" t="s">
        <v>33</v>
      </c>
      <c r="L117" t="s">
        <v>78</v>
      </c>
      <c r="M117" t="s">
        <v>44</v>
      </c>
      <c r="N117">
        <v>4.5999999999999996</v>
      </c>
      <c r="O117">
        <v>4.5</v>
      </c>
    </row>
    <row r="118" spans="1:15" x14ac:dyDescent="0.3">
      <c r="A118" t="s">
        <v>409</v>
      </c>
      <c r="B118" t="s">
        <v>410</v>
      </c>
      <c r="C118" t="s">
        <v>274</v>
      </c>
      <c r="D118" t="s">
        <v>30</v>
      </c>
      <c r="E118" t="s">
        <v>138</v>
      </c>
      <c r="F118" t="s">
        <v>101</v>
      </c>
      <c r="G118" t="s">
        <v>6</v>
      </c>
      <c r="H118">
        <v>6.1</v>
      </c>
      <c r="I118">
        <v>16</v>
      </c>
      <c r="J118">
        <v>205</v>
      </c>
      <c r="K118" t="s">
        <v>102</v>
      </c>
      <c r="L118" t="s">
        <v>71</v>
      </c>
      <c r="M118" t="s">
        <v>44</v>
      </c>
      <c r="N118">
        <v>4.7</v>
      </c>
      <c r="O118">
        <v>4.8</v>
      </c>
    </row>
    <row r="119" spans="1:15" x14ac:dyDescent="0.3">
      <c r="A119" t="s">
        <v>411</v>
      </c>
      <c r="B119" t="s">
        <v>403</v>
      </c>
      <c r="C119" t="s">
        <v>412</v>
      </c>
      <c r="D119" t="s">
        <v>39</v>
      </c>
      <c r="E119" t="s">
        <v>40</v>
      </c>
      <c r="F119" t="s">
        <v>155</v>
      </c>
      <c r="G119" t="s">
        <v>4</v>
      </c>
      <c r="H119">
        <v>7.3</v>
      </c>
      <c r="I119">
        <v>16</v>
      </c>
      <c r="J119">
        <v>255</v>
      </c>
      <c r="K119" t="s">
        <v>192</v>
      </c>
      <c r="L119" t="s">
        <v>49</v>
      </c>
      <c r="M119" t="s">
        <v>44</v>
      </c>
      <c r="N119">
        <v>5</v>
      </c>
      <c r="O119">
        <v>4.8</v>
      </c>
    </row>
    <row r="120" spans="1:15" x14ac:dyDescent="0.3">
      <c r="A120" t="s">
        <v>413</v>
      </c>
      <c r="B120" t="s">
        <v>152</v>
      </c>
      <c r="C120" t="s">
        <v>414</v>
      </c>
      <c r="D120" t="s">
        <v>106</v>
      </c>
      <c r="E120" t="s">
        <v>126</v>
      </c>
      <c r="F120" t="s">
        <v>108</v>
      </c>
      <c r="G120" t="s">
        <v>5</v>
      </c>
      <c r="H120">
        <v>4.7</v>
      </c>
      <c r="I120">
        <v>8</v>
      </c>
      <c r="J120">
        <v>235</v>
      </c>
      <c r="K120" t="s">
        <v>33</v>
      </c>
      <c r="L120" t="s">
        <v>71</v>
      </c>
      <c r="M120" t="s">
        <v>44</v>
      </c>
      <c r="N120">
        <v>4.5999999999999996</v>
      </c>
      <c r="O120">
        <v>5</v>
      </c>
    </row>
    <row r="121" spans="1:15" x14ac:dyDescent="0.3">
      <c r="A121" t="s">
        <v>415</v>
      </c>
      <c r="B121" t="s">
        <v>59</v>
      </c>
      <c r="C121" t="s">
        <v>416</v>
      </c>
      <c r="D121" t="s">
        <v>75</v>
      </c>
      <c r="E121" t="s">
        <v>77</v>
      </c>
      <c r="F121" t="s">
        <v>230</v>
      </c>
      <c r="G121" t="s">
        <v>3</v>
      </c>
      <c r="H121">
        <v>19.7</v>
      </c>
      <c r="I121">
        <v>46</v>
      </c>
      <c r="J121">
        <v>920</v>
      </c>
      <c r="K121" t="s">
        <v>33</v>
      </c>
      <c r="L121" t="s">
        <v>43</v>
      </c>
      <c r="M121" t="s">
        <v>44</v>
      </c>
      <c r="N121">
        <v>4.8</v>
      </c>
      <c r="O121">
        <v>4.9000000000000004</v>
      </c>
    </row>
    <row r="122" spans="1:15" x14ac:dyDescent="0.3">
      <c r="A122" t="s">
        <v>417</v>
      </c>
      <c r="B122" t="s">
        <v>246</v>
      </c>
      <c r="C122" t="s">
        <v>418</v>
      </c>
      <c r="D122" t="s">
        <v>61</v>
      </c>
      <c r="E122" t="s">
        <v>183</v>
      </c>
      <c r="F122" t="s">
        <v>328</v>
      </c>
      <c r="G122" t="s">
        <v>7</v>
      </c>
      <c r="H122">
        <v>8.6999999999999993</v>
      </c>
      <c r="I122">
        <v>19</v>
      </c>
      <c r="J122">
        <v>239</v>
      </c>
      <c r="K122" t="s">
        <v>33</v>
      </c>
      <c r="L122" t="s">
        <v>161</v>
      </c>
      <c r="M122" t="s">
        <v>35</v>
      </c>
      <c r="N122">
        <v>4.8</v>
      </c>
      <c r="O122">
        <v>4.8</v>
      </c>
    </row>
    <row r="123" spans="1:15" x14ac:dyDescent="0.3">
      <c r="A123" t="s">
        <v>419</v>
      </c>
      <c r="B123" t="s">
        <v>407</v>
      </c>
      <c r="C123" t="s">
        <v>420</v>
      </c>
      <c r="D123" t="s">
        <v>158</v>
      </c>
      <c r="E123" t="s">
        <v>160</v>
      </c>
      <c r="F123" t="s">
        <v>319</v>
      </c>
      <c r="G123" t="s">
        <v>6</v>
      </c>
      <c r="H123">
        <v>12.4</v>
      </c>
      <c r="I123">
        <v>42</v>
      </c>
      <c r="J123">
        <v>236</v>
      </c>
      <c r="K123" t="s">
        <v>33</v>
      </c>
      <c r="L123" t="s">
        <v>43</v>
      </c>
      <c r="M123" t="s">
        <v>44</v>
      </c>
      <c r="N123">
        <v>5</v>
      </c>
      <c r="O123">
        <v>4.7</v>
      </c>
    </row>
    <row r="124" spans="1:15" x14ac:dyDescent="0.3">
      <c r="A124" t="s">
        <v>421</v>
      </c>
      <c r="B124" t="s">
        <v>422</v>
      </c>
      <c r="C124" t="s">
        <v>423</v>
      </c>
      <c r="D124" t="s">
        <v>68</v>
      </c>
      <c r="E124" t="s">
        <v>150</v>
      </c>
      <c r="F124" t="s">
        <v>195</v>
      </c>
      <c r="G124" t="s">
        <v>6</v>
      </c>
      <c r="H124">
        <v>5.6</v>
      </c>
      <c r="I124">
        <v>15</v>
      </c>
      <c r="J124">
        <v>149</v>
      </c>
      <c r="K124" t="s">
        <v>102</v>
      </c>
      <c r="L124" t="s">
        <v>64</v>
      </c>
      <c r="M124" t="s">
        <v>44</v>
      </c>
      <c r="N124">
        <v>4.5</v>
      </c>
      <c r="O124">
        <v>4.9000000000000004</v>
      </c>
    </row>
    <row r="125" spans="1:15" x14ac:dyDescent="0.3">
      <c r="A125" t="s">
        <v>424</v>
      </c>
      <c r="B125" t="s">
        <v>28</v>
      </c>
      <c r="C125" t="s">
        <v>425</v>
      </c>
      <c r="D125" t="s">
        <v>75</v>
      </c>
      <c r="E125" t="s">
        <v>230</v>
      </c>
      <c r="F125" t="s">
        <v>77</v>
      </c>
      <c r="G125" t="s">
        <v>6</v>
      </c>
      <c r="H125">
        <v>2.4</v>
      </c>
      <c r="I125">
        <v>5</v>
      </c>
      <c r="J125">
        <v>116</v>
      </c>
      <c r="K125" t="s">
        <v>102</v>
      </c>
      <c r="L125" t="s">
        <v>78</v>
      </c>
      <c r="M125" t="s">
        <v>44</v>
      </c>
      <c r="N125">
        <v>4.8</v>
      </c>
      <c r="O125">
        <v>4.7</v>
      </c>
    </row>
    <row r="126" spans="1:15" x14ac:dyDescent="0.3">
      <c r="A126" t="s">
        <v>426</v>
      </c>
      <c r="B126" t="s">
        <v>200</v>
      </c>
      <c r="C126" t="s">
        <v>203</v>
      </c>
      <c r="D126" t="s">
        <v>68</v>
      </c>
      <c r="E126" t="s">
        <v>69</v>
      </c>
      <c r="F126" t="s">
        <v>130</v>
      </c>
      <c r="G126" t="s">
        <v>4</v>
      </c>
      <c r="H126">
        <v>6.3</v>
      </c>
      <c r="I126">
        <v>15</v>
      </c>
      <c r="J126">
        <v>290</v>
      </c>
      <c r="K126" t="s">
        <v>42</v>
      </c>
      <c r="L126" t="s">
        <v>64</v>
      </c>
      <c r="M126" t="s">
        <v>44</v>
      </c>
      <c r="N126">
        <v>5</v>
      </c>
      <c r="O126">
        <v>4.5999999999999996</v>
      </c>
    </row>
    <row r="127" spans="1:15" x14ac:dyDescent="0.3">
      <c r="A127" t="s">
        <v>427</v>
      </c>
      <c r="B127" t="s">
        <v>208</v>
      </c>
      <c r="C127" t="s">
        <v>428</v>
      </c>
      <c r="D127" t="s">
        <v>68</v>
      </c>
      <c r="E127" t="s">
        <v>120</v>
      </c>
      <c r="F127" t="s">
        <v>70</v>
      </c>
      <c r="G127" t="s">
        <v>6</v>
      </c>
      <c r="H127">
        <v>6.9</v>
      </c>
      <c r="I127">
        <v>20</v>
      </c>
      <c r="J127">
        <v>212</v>
      </c>
      <c r="K127" t="s">
        <v>42</v>
      </c>
      <c r="L127" t="s">
        <v>43</v>
      </c>
      <c r="M127" t="s">
        <v>44</v>
      </c>
      <c r="N127">
        <v>4.5999999999999996</v>
      </c>
      <c r="O127">
        <v>4.8</v>
      </c>
    </row>
    <row r="128" spans="1:15" x14ac:dyDescent="0.3">
      <c r="A128" t="s">
        <v>429</v>
      </c>
      <c r="B128" t="s">
        <v>37</v>
      </c>
      <c r="C128" t="s">
        <v>430</v>
      </c>
      <c r="D128" t="s">
        <v>158</v>
      </c>
      <c r="E128" t="s">
        <v>334</v>
      </c>
      <c r="F128" t="s">
        <v>262</v>
      </c>
      <c r="G128" t="s">
        <v>6</v>
      </c>
      <c r="H128">
        <v>5.8</v>
      </c>
      <c r="I128">
        <v>10</v>
      </c>
      <c r="J128">
        <v>146</v>
      </c>
      <c r="K128" t="s">
        <v>102</v>
      </c>
      <c r="L128" t="s">
        <v>57</v>
      </c>
      <c r="M128" t="s">
        <v>35</v>
      </c>
      <c r="N128">
        <v>5</v>
      </c>
      <c r="O128">
        <v>4.5999999999999996</v>
      </c>
    </row>
    <row r="129" spans="1:15" x14ac:dyDescent="0.3">
      <c r="A129" t="s">
        <v>431</v>
      </c>
      <c r="B129" t="s">
        <v>163</v>
      </c>
      <c r="C129" t="s">
        <v>432</v>
      </c>
      <c r="D129" t="s">
        <v>68</v>
      </c>
      <c r="E129" t="s">
        <v>69</v>
      </c>
      <c r="F129" t="s">
        <v>172</v>
      </c>
      <c r="G129" t="s">
        <v>5</v>
      </c>
      <c r="H129">
        <v>4.9000000000000004</v>
      </c>
      <c r="I129">
        <v>16</v>
      </c>
      <c r="J129">
        <v>180</v>
      </c>
      <c r="K129" t="s">
        <v>42</v>
      </c>
      <c r="L129" t="s">
        <v>49</v>
      </c>
      <c r="M129" t="s">
        <v>44</v>
      </c>
      <c r="N129">
        <v>4.5999999999999996</v>
      </c>
      <c r="O129">
        <v>4.9000000000000004</v>
      </c>
    </row>
    <row r="130" spans="1:15" x14ac:dyDescent="0.3">
      <c r="A130" t="s">
        <v>433</v>
      </c>
      <c r="B130" t="s">
        <v>270</v>
      </c>
      <c r="C130" t="s">
        <v>434</v>
      </c>
      <c r="D130" t="s">
        <v>30</v>
      </c>
      <c r="E130" t="s">
        <v>31</v>
      </c>
      <c r="F130" t="s">
        <v>100</v>
      </c>
      <c r="G130" t="s">
        <v>6</v>
      </c>
      <c r="H130">
        <v>8.1999999999999993</v>
      </c>
      <c r="I130">
        <v>25</v>
      </c>
      <c r="J130">
        <v>195</v>
      </c>
      <c r="K130" t="s">
        <v>42</v>
      </c>
      <c r="L130" t="s">
        <v>64</v>
      </c>
      <c r="M130" t="s">
        <v>44</v>
      </c>
      <c r="N130">
        <v>4.5999999999999996</v>
      </c>
      <c r="O130">
        <v>4.8</v>
      </c>
    </row>
    <row r="131" spans="1:15" x14ac:dyDescent="0.3">
      <c r="A131" t="s">
        <v>435</v>
      </c>
      <c r="B131" t="s">
        <v>205</v>
      </c>
      <c r="C131" t="s">
        <v>257</v>
      </c>
      <c r="D131" t="s">
        <v>68</v>
      </c>
      <c r="E131" t="s">
        <v>195</v>
      </c>
      <c r="F131" t="s">
        <v>120</v>
      </c>
      <c r="G131" t="s">
        <v>7</v>
      </c>
      <c r="H131">
        <v>3.9</v>
      </c>
      <c r="I131">
        <v>13</v>
      </c>
      <c r="J131">
        <v>140</v>
      </c>
      <c r="K131" t="s">
        <v>192</v>
      </c>
      <c r="L131" t="s">
        <v>49</v>
      </c>
      <c r="M131" t="s">
        <v>44</v>
      </c>
      <c r="N131">
        <v>4.7</v>
      </c>
      <c r="O131">
        <v>4.8</v>
      </c>
    </row>
    <row r="132" spans="1:15" x14ac:dyDescent="0.3">
      <c r="A132" t="s">
        <v>436</v>
      </c>
      <c r="B132" t="s">
        <v>205</v>
      </c>
      <c r="C132" t="s">
        <v>437</v>
      </c>
      <c r="D132" t="s">
        <v>53</v>
      </c>
      <c r="E132" t="s">
        <v>405</v>
      </c>
      <c r="F132" t="s">
        <v>220</v>
      </c>
      <c r="G132" t="s">
        <v>6</v>
      </c>
      <c r="H132">
        <v>9.4</v>
      </c>
      <c r="I132">
        <v>22</v>
      </c>
      <c r="J132">
        <v>267</v>
      </c>
      <c r="K132" t="s">
        <v>33</v>
      </c>
      <c r="L132" t="s">
        <v>43</v>
      </c>
      <c r="M132" t="s">
        <v>44</v>
      </c>
      <c r="N132">
        <v>4.5</v>
      </c>
      <c r="O132">
        <v>4.9000000000000004</v>
      </c>
    </row>
    <row r="133" spans="1:15" x14ac:dyDescent="0.3">
      <c r="A133" t="s">
        <v>438</v>
      </c>
      <c r="B133" t="s">
        <v>163</v>
      </c>
      <c r="C133" t="s">
        <v>439</v>
      </c>
      <c r="D133" t="s">
        <v>75</v>
      </c>
      <c r="E133" t="s">
        <v>394</v>
      </c>
      <c r="F133" t="s">
        <v>76</v>
      </c>
      <c r="G133" t="s">
        <v>2</v>
      </c>
      <c r="H133">
        <v>2.6</v>
      </c>
      <c r="I133">
        <v>8</v>
      </c>
      <c r="J133">
        <v>59</v>
      </c>
      <c r="K133" t="s">
        <v>42</v>
      </c>
      <c r="L133" t="s">
        <v>49</v>
      </c>
      <c r="M133" t="s">
        <v>44</v>
      </c>
      <c r="N133">
        <v>4.7</v>
      </c>
      <c r="O133">
        <v>4.8</v>
      </c>
    </row>
    <row r="134" spans="1:15" x14ac:dyDescent="0.3">
      <c r="A134" t="s">
        <v>440</v>
      </c>
      <c r="B134" t="s">
        <v>441</v>
      </c>
      <c r="C134" t="s">
        <v>442</v>
      </c>
      <c r="D134" t="s">
        <v>106</v>
      </c>
      <c r="E134" t="s">
        <v>126</v>
      </c>
      <c r="F134" t="s">
        <v>443</v>
      </c>
      <c r="G134" t="s">
        <v>7</v>
      </c>
      <c r="H134">
        <v>6.5</v>
      </c>
      <c r="I134">
        <v>10</v>
      </c>
      <c r="J134">
        <v>248</v>
      </c>
      <c r="K134" t="s">
        <v>42</v>
      </c>
      <c r="L134" t="s">
        <v>43</v>
      </c>
      <c r="M134" t="s">
        <v>44</v>
      </c>
      <c r="N134">
        <v>5</v>
      </c>
      <c r="O134">
        <v>4.7</v>
      </c>
    </row>
    <row r="135" spans="1:15" x14ac:dyDescent="0.3">
      <c r="A135" t="s">
        <v>444</v>
      </c>
      <c r="B135" t="s">
        <v>410</v>
      </c>
      <c r="C135" t="s">
        <v>445</v>
      </c>
      <c r="D135" t="s">
        <v>158</v>
      </c>
      <c r="E135" t="s">
        <v>334</v>
      </c>
      <c r="F135" t="s">
        <v>284</v>
      </c>
      <c r="G135" t="s">
        <v>6</v>
      </c>
      <c r="H135">
        <v>4.8</v>
      </c>
      <c r="I135">
        <v>13</v>
      </c>
      <c r="J135">
        <v>105</v>
      </c>
      <c r="K135" t="s">
        <v>33</v>
      </c>
      <c r="L135" t="s">
        <v>161</v>
      </c>
      <c r="M135" t="s">
        <v>35</v>
      </c>
      <c r="N135">
        <v>4.7</v>
      </c>
      <c r="O135">
        <v>4.8</v>
      </c>
    </row>
    <row r="136" spans="1:15" x14ac:dyDescent="0.3">
      <c r="A136" t="s">
        <v>446</v>
      </c>
      <c r="B136" t="s">
        <v>447</v>
      </c>
      <c r="C136" t="s">
        <v>448</v>
      </c>
      <c r="D136" t="s">
        <v>81</v>
      </c>
      <c r="E136" t="s">
        <v>83</v>
      </c>
      <c r="F136" t="s">
        <v>90</v>
      </c>
      <c r="G136" t="s">
        <v>3</v>
      </c>
      <c r="H136">
        <v>9.6999999999999993</v>
      </c>
      <c r="I136">
        <v>23</v>
      </c>
      <c r="J136">
        <v>474</v>
      </c>
      <c r="K136" t="s">
        <v>33</v>
      </c>
      <c r="L136" t="s">
        <v>49</v>
      </c>
      <c r="M136" t="s">
        <v>44</v>
      </c>
      <c r="N136">
        <v>4.0999999999999996</v>
      </c>
      <c r="O136">
        <v>4.7</v>
      </c>
    </row>
    <row r="137" spans="1:15" x14ac:dyDescent="0.3">
      <c r="A137" t="s">
        <v>449</v>
      </c>
      <c r="B137" t="s">
        <v>450</v>
      </c>
      <c r="C137" t="s">
        <v>451</v>
      </c>
      <c r="D137" t="s">
        <v>53</v>
      </c>
      <c r="E137" t="s">
        <v>220</v>
      </c>
      <c r="F137" t="s">
        <v>55</v>
      </c>
      <c r="G137" t="s">
        <v>5</v>
      </c>
      <c r="H137">
        <v>13.7</v>
      </c>
      <c r="I137">
        <v>32</v>
      </c>
      <c r="J137">
        <v>475</v>
      </c>
      <c r="K137" t="s">
        <v>102</v>
      </c>
      <c r="L137" t="s">
        <v>71</v>
      </c>
      <c r="M137" t="s">
        <v>44</v>
      </c>
      <c r="N137">
        <v>4.5</v>
      </c>
      <c r="O137">
        <v>4.9000000000000004</v>
      </c>
    </row>
    <row r="138" spans="1:15" x14ac:dyDescent="0.3">
      <c r="A138" t="s">
        <v>452</v>
      </c>
      <c r="B138" t="s">
        <v>453</v>
      </c>
      <c r="C138" t="s">
        <v>454</v>
      </c>
      <c r="D138" t="s">
        <v>106</v>
      </c>
      <c r="E138" t="s">
        <v>443</v>
      </c>
      <c r="F138" t="s">
        <v>290</v>
      </c>
      <c r="G138" t="s">
        <v>6</v>
      </c>
      <c r="H138">
        <v>8.1</v>
      </c>
      <c r="I138">
        <v>25</v>
      </c>
      <c r="J138">
        <v>167</v>
      </c>
      <c r="K138" t="s">
        <v>33</v>
      </c>
      <c r="L138" t="s">
        <v>64</v>
      </c>
      <c r="M138" t="s">
        <v>44</v>
      </c>
      <c r="N138">
        <v>4.8</v>
      </c>
      <c r="O138">
        <v>4.7</v>
      </c>
    </row>
    <row r="139" spans="1:15" x14ac:dyDescent="0.3">
      <c r="A139" t="s">
        <v>455</v>
      </c>
      <c r="B139" t="s">
        <v>110</v>
      </c>
      <c r="C139" t="s">
        <v>456</v>
      </c>
      <c r="D139" t="s">
        <v>61</v>
      </c>
      <c r="E139" t="s">
        <v>116</v>
      </c>
      <c r="F139" t="s">
        <v>96</v>
      </c>
      <c r="G139" t="s">
        <v>5</v>
      </c>
      <c r="H139">
        <v>3.4</v>
      </c>
      <c r="I139">
        <v>15</v>
      </c>
      <c r="J139">
        <v>121</v>
      </c>
      <c r="K139" t="s">
        <v>33</v>
      </c>
      <c r="L139" t="s">
        <v>161</v>
      </c>
      <c r="M139" t="s">
        <v>35</v>
      </c>
      <c r="N139">
        <v>4.8</v>
      </c>
      <c r="O139">
        <v>5</v>
      </c>
    </row>
    <row r="140" spans="1:15" x14ac:dyDescent="0.3">
      <c r="A140" t="s">
        <v>457</v>
      </c>
      <c r="B140" t="s">
        <v>458</v>
      </c>
      <c r="C140" t="s">
        <v>459</v>
      </c>
      <c r="D140" t="s">
        <v>61</v>
      </c>
      <c r="E140" t="s">
        <v>62</v>
      </c>
      <c r="F140" t="s">
        <v>96</v>
      </c>
      <c r="G140" t="s">
        <v>5</v>
      </c>
      <c r="H140">
        <v>10.6</v>
      </c>
      <c r="I140">
        <v>17</v>
      </c>
      <c r="J140">
        <v>258</v>
      </c>
      <c r="K140" t="s">
        <v>42</v>
      </c>
      <c r="L140" t="s">
        <v>64</v>
      </c>
      <c r="M140" t="s">
        <v>44</v>
      </c>
      <c r="N140">
        <v>4.8</v>
      </c>
      <c r="O140">
        <v>4.5999999999999996</v>
      </c>
    </row>
    <row r="141" spans="1:15" x14ac:dyDescent="0.3">
      <c r="A141" t="s">
        <v>460</v>
      </c>
      <c r="B141" t="s">
        <v>174</v>
      </c>
      <c r="C141" t="s">
        <v>461</v>
      </c>
      <c r="D141" t="s">
        <v>106</v>
      </c>
      <c r="E141" t="s">
        <v>443</v>
      </c>
      <c r="F141" t="s">
        <v>107</v>
      </c>
      <c r="G141" t="s">
        <v>2</v>
      </c>
      <c r="H141">
        <v>10.9</v>
      </c>
      <c r="I141">
        <v>29</v>
      </c>
      <c r="J141">
        <v>168</v>
      </c>
      <c r="K141" t="s">
        <v>33</v>
      </c>
      <c r="L141" t="s">
        <v>49</v>
      </c>
      <c r="M141" t="s">
        <v>44</v>
      </c>
      <c r="N141">
        <v>4.5</v>
      </c>
      <c r="O141">
        <v>4.5999999999999996</v>
      </c>
    </row>
    <row r="142" spans="1:15" x14ac:dyDescent="0.3">
      <c r="A142" t="s">
        <v>462</v>
      </c>
      <c r="B142" t="s">
        <v>463</v>
      </c>
      <c r="C142" t="s">
        <v>464</v>
      </c>
      <c r="D142" t="s">
        <v>106</v>
      </c>
      <c r="E142" t="s">
        <v>290</v>
      </c>
      <c r="F142" t="s">
        <v>168</v>
      </c>
      <c r="G142" t="s">
        <v>6</v>
      </c>
      <c r="H142">
        <v>1</v>
      </c>
      <c r="I142">
        <v>6</v>
      </c>
      <c r="J142">
        <v>77</v>
      </c>
      <c r="K142" t="s">
        <v>42</v>
      </c>
      <c r="L142" t="s">
        <v>34</v>
      </c>
      <c r="M142" t="s">
        <v>35</v>
      </c>
      <c r="N142">
        <v>4.8</v>
      </c>
      <c r="O142">
        <v>4.9000000000000004</v>
      </c>
    </row>
    <row r="143" spans="1:15" x14ac:dyDescent="0.3">
      <c r="A143" t="s">
        <v>465</v>
      </c>
      <c r="B143" t="s">
        <v>273</v>
      </c>
      <c r="C143" t="s">
        <v>466</v>
      </c>
      <c r="D143" t="s">
        <v>68</v>
      </c>
      <c r="E143" t="s">
        <v>150</v>
      </c>
      <c r="F143" t="s">
        <v>130</v>
      </c>
      <c r="G143" t="s">
        <v>4</v>
      </c>
      <c r="H143">
        <v>14.2</v>
      </c>
      <c r="I143">
        <v>28</v>
      </c>
      <c r="J143">
        <v>525</v>
      </c>
      <c r="K143" t="s">
        <v>42</v>
      </c>
      <c r="L143" t="s">
        <v>43</v>
      </c>
      <c r="M143" t="s">
        <v>44</v>
      </c>
      <c r="N143">
        <v>4.4000000000000004</v>
      </c>
      <c r="O143">
        <v>4.9000000000000004</v>
      </c>
    </row>
    <row r="144" spans="1:15" x14ac:dyDescent="0.3">
      <c r="A144" t="s">
        <v>467</v>
      </c>
      <c r="B144" t="s">
        <v>468</v>
      </c>
      <c r="C144" t="s">
        <v>469</v>
      </c>
      <c r="D144" t="s">
        <v>39</v>
      </c>
      <c r="E144" t="s">
        <v>155</v>
      </c>
      <c r="F144" t="s">
        <v>278</v>
      </c>
      <c r="G144" t="s">
        <v>3</v>
      </c>
      <c r="H144">
        <v>3.9</v>
      </c>
      <c r="I144">
        <v>14</v>
      </c>
      <c r="J144">
        <v>281</v>
      </c>
      <c r="K144" t="s">
        <v>42</v>
      </c>
      <c r="L144" t="s">
        <v>49</v>
      </c>
      <c r="M144" t="s">
        <v>44</v>
      </c>
      <c r="N144">
        <v>5</v>
      </c>
      <c r="O144">
        <v>4.9000000000000004</v>
      </c>
    </row>
    <row r="145" spans="1:15" x14ac:dyDescent="0.3">
      <c r="A145" t="s">
        <v>470</v>
      </c>
      <c r="B145" t="s">
        <v>303</v>
      </c>
      <c r="C145" t="s">
        <v>471</v>
      </c>
      <c r="D145" t="s">
        <v>106</v>
      </c>
      <c r="E145" t="s">
        <v>290</v>
      </c>
      <c r="F145" t="s">
        <v>472</v>
      </c>
      <c r="G145" t="s">
        <v>2</v>
      </c>
      <c r="H145">
        <v>3.4</v>
      </c>
      <c r="I145">
        <v>9</v>
      </c>
      <c r="J145">
        <v>112</v>
      </c>
      <c r="K145" t="s">
        <v>102</v>
      </c>
      <c r="L145" t="s">
        <v>71</v>
      </c>
      <c r="M145" t="s">
        <v>44</v>
      </c>
      <c r="N145">
        <v>4.5</v>
      </c>
      <c r="O145">
        <v>4.7</v>
      </c>
    </row>
    <row r="146" spans="1:15" x14ac:dyDescent="0.3">
      <c r="A146" t="s">
        <v>473</v>
      </c>
      <c r="B146" t="s">
        <v>59</v>
      </c>
      <c r="C146" t="s">
        <v>474</v>
      </c>
      <c r="D146" t="s">
        <v>158</v>
      </c>
      <c r="E146" t="s">
        <v>334</v>
      </c>
      <c r="F146" t="s">
        <v>319</v>
      </c>
      <c r="G146" t="s">
        <v>2</v>
      </c>
      <c r="H146">
        <v>6.4</v>
      </c>
      <c r="I146">
        <v>16</v>
      </c>
      <c r="J146">
        <v>121</v>
      </c>
      <c r="K146" t="s">
        <v>33</v>
      </c>
      <c r="L146" t="s">
        <v>78</v>
      </c>
      <c r="M146" t="s">
        <v>44</v>
      </c>
      <c r="N146">
        <v>4.3</v>
      </c>
      <c r="O146">
        <v>4.5999999999999996</v>
      </c>
    </row>
    <row r="147" spans="1:15" x14ac:dyDescent="0.3">
      <c r="A147" t="s">
        <v>475</v>
      </c>
      <c r="B147" t="s">
        <v>476</v>
      </c>
      <c r="C147" t="s">
        <v>477</v>
      </c>
      <c r="D147" t="s">
        <v>30</v>
      </c>
      <c r="E147" t="s">
        <v>32</v>
      </c>
      <c r="F147" t="s">
        <v>31</v>
      </c>
      <c r="G147" t="s">
        <v>5</v>
      </c>
      <c r="H147">
        <v>3.4</v>
      </c>
      <c r="I147">
        <v>5</v>
      </c>
      <c r="J147">
        <v>159</v>
      </c>
      <c r="K147" t="s">
        <v>42</v>
      </c>
      <c r="L147" t="s">
        <v>71</v>
      </c>
      <c r="M147" t="s">
        <v>44</v>
      </c>
      <c r="N147">
        <v>4.3</v>
      </c>
      <c r="O147">
        <v>4.5</v>
      </c>
    </row>
    <row r="148" spans="1:15" x14ac:dyDescent="0.3">
      <c r="A148" t="s">
        <v>478</v>
      </c>
      <c r="B148" t="s">
        <v>450</v>
      </c>
      <c r="C148" t="s">
        <v>479</v>
      </c>
      <c r="D148" t="s">
        <v>61</v>
      </c>
      <c r="E148" t="s">
        <v>95</v>
      </c>
      <c r="F148" t="s">
        <v>116</v>
      </c>
      <c r="G148" t="s">
        <v>6</v>
      </c>
      <c r="H148">
        <v>14.6</v>
      </c>
      <c r="I148">
        <v>47</v>
      </c>
      <c r="J148">
        <v>316</v>
      </c>
      <c r="K148" t="s">
        <v>42</v>
      </c>
      <c r="L148" t="s">
        <v>78</v>
      </c>
      <c r="M148" t="s">
        <v>44</v>
      </c>
      <c r="N148">
        <v>5</v>
      </c>
      <c r="O148">
        <v>5</v>
      </c>
    </row>
    <row r="149" spans="1:15" x14ac:dyDescent="0.3">
      <c r="A149" t="s">
        <v>480</v>
      </c>
      <c r="B149" t="s">
        <v>481</v>
      </c>
      <c r="C149" t="s">
        <v>482</v>
      </c>
      <c r="D149" t="s">
        <v>39</v>
      </c>
      <c r="E149" t="s">
        <v>40</v>
      </c>
      <c r="F149" t="s">
        <v>278</v>
      </c>
      <c r="G149" t="s">
        <v>6</v>
      </c>
      <c r="H149">
        <v>13.5</v>
      </c>
      <c r="I149">
        <v>33</v>
      </c>
      <c r="J149">
        <v>346</v>
      </c>
      <c r="K149" t="s">
        <v>33</v>
      </c>
      <c r="L149" t="s">
        <v>71</v>
      </c>
      <c r="M149" t="s">
        <v>44</v>
      </c>
      <c r="N149">
        <v>4.7</v>
      </c>
      <c r="O149">
        <v>4.7</v>
      </c>
    </row>
    <row r="150" spans="1:15" x14ac:dyDescent="0.3">
      <c r="A150" t="s">
        <v>483</v>
      </c>
      <c r="B150" t="s">
        <v>476</v>
      </c>
      <c r="C150" t="s">
        <v>474</v>
      </c>
      <c r="D150" t="s">
        <v>39</v>
      </c>
      <c r="E150" t="s">
        <v>484</v>
      </c>
      <c r="F150" t="s">
        <v>40</v>
      </c>
      <c r="G150" t="s">
        <v>4</v>
      </c>
      <c r="H150">
        <v>7.5</v>
      </c>
      <c r="I150">
        <v>24</v>
      </c>
      <c r="J150">
        <v>275</v>
      </c>
      <c r="K150" t="s">
        <v>102</v>
      </c>
      <c r="L150" t="s">
        <v>78</v>
      </c>
      <c r="M150" t="s">
        <v>44</v>
      </c>
      <c r="N150">
        <v>4.5</v>
      </c>
      <c r="O150">
        <v>4.7</v>
      </c>
    </row>
    <row r="151" spans="1:15" x14ac:dyDescent="0.3">
      <c r="A151" t="s">
        <v>485</v>
      </c>
      <c r="B151" t="s">
        <v>37</v>
      </c>
      <c r="C151" t="s">
        <v>486</v>
      </c>
      <c r="D151" t="s">
        <v>81</v>
      </c>
      <c r="E151" t="s">
        <v>91</v>
      </c>
      <c r="F151" t="s">
        <v>351</v>
      </c>
      <c r="G151" t="s">
        <v>6</v>
      </c>
      <c r="H151">
        <v>13.2</v>
      </c>
      <c r="I151">
        <v>41</v>
      </c>
      <c r="J151">
        <v>291</v>
      </c>
      <c r="K151" t="s">
        <v>42</v>
      </c>
      <c r="L151" t="s">
        <v>64</v>
      </c>
      <c r="M151" t="s">
        <v>44</v>
      </c>
      <c r="N151">
        <v>5</v>
      </c>
      <c r="O151">
        <v>4.8</v>
      </c>
    </row>
    <row r="152" spans="1:15" x14ac:dyDescent="0.3">
      <c r="A152" t="s">
        <v>487</v>
      </c>
      <c r="B152" t="s">
        <v>453</v>
      </c>
      <c r="C152" t="s">
        <v>274</v>
      </c>
      <c r="D152" t="s">
        <v>39</v>
      </c>
      <c r="E152" t="s">
        <v>278</v>
      </c>
      <c r="F152" t="s">
        <v>41</v>
      </c>
      <c r="G152" t="s">
        <v>6</v>
      </c>
      <c r="H152">
        <v>2.5</v>
      </c>
      <c r="I152">
        <v>9</v>
      </c>
      <c r="J152">
        <v>141</v>
      </c>
      <c r="K152" t="s">
        <v>102</v>
      </c>
      <c r="L152" t="s">
        <v>71</v>
      </c>
      <c r="M152" t="s">
        <v>44</v>
      </c>
      <c r="N152">
        <v>4.5999999999999996</v>
      </c>
      <c r="O152">
        <v>4.7</v>
      </c>
    </row>
    <row r="153" spans="1:15" x14ac:dyDescent="0.3">
      <c r="A153" t="s">
        <v>488</v>
      </c>
      <c r="B153" t="s">
        <v>397</v>
      </c>
      <c r="C153" t="s">
        <v>489</v>
      </c>
      <c r="D153" t="s">
        <v>61</v>
      </c>
      <c r="E153" t="s">
        <v>183</v>
      </c>
      <c r="F153" t="s">
        <v>62</v>
      </c>
      <c r="G153" t="s">
        <v>7</v>
      </c>
      <c r="H153">
        <v>9</v>
      </c>
      <c r="I153">
        <v>25</v>
      </c>
      <c r="J153">
        <v>322</v>
      </c>
      <c r="K153" t="s">
        <v>33</v>
      </c>
      <c r="L153" t="s">
        <v>71</v>
      </c>
      <c r="M153" t="s">
        <v>44</v>
      </c>
      <c r="N153">
        <v>4.8</v>
      </c>
      <c r="O153">
        <v>4.8</v>
      </c>
    </row>
    <row r="154" spans="1:15" x14ac:dyDescent="0.3">
      <c r="A154" t="s">
        <v>490</v>
      </c>
      <c r="B154" t="s">
        <v>170</v>
      </c>
      <c r="C154" t="s">
        <v>274</v>
      </c>
      <c r="D154" t="s">
        <v>30</v>
      </c>
      <c r="E154" t="s">
        <v>31</v>
      </c>
      <c r="F154" t="s">
        <v>100</v>
      </c>
      <c r="G154" t="s">
        <v>6</v>
      </c>
      <c r="H154">
        <v>4.3</v>
      </c>
      <c r="I154">
        <v>14</v>
      </c>
      <c r="J154">
        <v>123</v>
      </c>
      <c r="K154" t="s">
        <v>33</v>
      </c>
      <c r="L154" t="s">
        <v>71</v>
      </c>
      <c r="M154" t="s">
        <v>44</v>
      </c>
      <c r="N154">
        <v>4.9000000000000004</v>
      </c>
      <c r="O154">
        <v>4.9000000000000004</v>
      </c>
    </row>
    <row r="155" spans="1:15" x14ac:dyDescent="0.3">
      <c r="A155" t="s">
        <v>491</v>
      </c>
      <c r="B155" t="s">
        <v>218</v>
      </c>
      <c r="C155" t="s">
        <v>492</v>
      </c>
      <c r="D155" t="s">
        <v>106</v>
      </c>
      <c r="E155" t="s">
        <v>107</v>
      </c>
      <c r="F155" t="s">
        <v>290</v>
      </c>
      <c r="G155" t="s">
        <v>7</v>
      </c>
      <c r="H155">
        <v>5.3</v>
      </c>
      <c r="I155">
        <v>9</v>
      </c>
      <c r="J155">
        <v>195</v>
      </c>
      <c r="K155" t="s">
        <v>102</v>
      </c>
      <c r="L155" t="s">
        <v>34</v>
      </c>
      <c r="M155" t="s">
        <v>35</v>
      </c>
      <c r="N155">
        <v>4.4000000000000004</v>
      </c>
      <c r="O155">
        <v>4.9000000000000004</v>
      </c>
    </row>
    <row r="156" spans="1:15" x14ac:dyDescent="0.3">
      <c r="A156" t="s">
        <v>493</v>
      </c>
      <c r="B156" t="s">
        <v>463</v>
      </c>
      <c r="C156" t="s">
        <v>494</v>
      </c>
      <c r="D156" t="s">
        <v>53</v>
      </c>
      <c r="E156" t="s">
        <v>221</v>
      </c>
      <c r="F156" t="s">
        <v>236</v>
      </c>
      <c r="G156" t="s">
        <v>7</v>
      </c>
      <c r="H156">
        <v>3.4</v>
      </c>
      <c r="I156">
        <v>10</v>
      </c>
      <c r="J156">
        <v>143</v>
      </c>
      <c r="K156" t="s">
        <v>42</v>
      </c>
      <c r="L156" t="s">
        <v>34</v>
      </c>
      <c r="M156" t="s">
        <v>35</v>
      </c>
      <c r="N156">
        <v>5</v>
      </c>
      <c r="O156">
        <v>4.5999999999999996</v>
      </c>
    </row>
    <row r="157" spans="1:15" x14ac:dyDescent="0.3">
      <c r="A157" t="s">
        <v>495</v>
      </c>
      <c r="B157" t="s">
        <v>110</v>
      </c>
      <c r="C157" t="s">
        <v>496</v>
      </c>
      <c r="D157" t="s">
        <v>158</v>
      </c>
      <c r="E157" t="s">
        <v>284</v>
      </c>
      <c r="F157" t="s">
        <v>283</v>
      </c>
      <c r="G157" t="s">
        <v>4</v>
      </c>
      <c r="H157">
        <v>6.8</v>
      </c>
      <c r="I157">
        <v>18</v>
      </c>
      <c r="J157">
        <v>192</v>
      </c>
      <c r="K157" t="s">
        <v>33</v>
      </c>
      <c r="L157" t="s">
        <v>64</v>
      </c>
      <c r="M157" t="s">
        <v>44</v>
      </c>
      <c r="N157">
        <v>4.5999999999999996</v>
      </c>
      <c r="O157">
        <v>5</v>
      </c>
    </row>
    <row r="158" spans="1:15" x14ac:dyDescent="0.3">
      <c r="A158" t="s">
        <v>497</v>
      </c>
      <c r="B158" t="s">
        <v>273</v>
      </c>
      <c r="C158" t="s">
        <v>498</v>
      </c>
      <c r="D158" t="s">
        <v>106</v>
      </c>
      <c r="E158" t="s">
        <v>187</v>
      </c>
      <c r="F158" t="s">
        <v>443</v>
      </c>
      <c r="G158" t="s">
        <v>2</v>
      </c>
      <c r="H158">
        <v>10.5</v>
      </c>
      <c r="I158">
        <v>28</v>
      </c>
      <c r="J158">
        <v>165</v>
      </c>
      <c r="K158" t="s">
        <v>42</v>
      </c>
      <c r="L158" t="s">
        <v>49</v>
      </c>
      <c r="M158" t="s">
        <v>44</v>
      </c>
      <c r="N158">
        <v>4.5</v>
      </c>
      <c r="O158">
        <v>4.7</v>
      </c>
    </row>
    <row r="159" spans="1:15" x14ac:dyDescent="0.3">
      <c r="A159" t="s">
        <v>499</v>
      </c>
      <c r="B159" t="s">
        <v>476</v>
      </c>
      <c r="C159" t="s">
        <v>500</v>
      </c>
      <c r="D159" t="s">
        <v>81</v>
      </c>
      <c r="E159" t="s">
        <v>268</v>
      </c>
      <c r="F159" t="s">
        <v>351</v>
      </c>
      <c r="G159" t="s">
        <v>3</v>
      </c>
      <c r="H159">
        <v>3</v>
      </c>
      <c r="I159">
        <v>7</v>
      </c>
      <c r="J159">
        <v>315</v>
      </c>
      <c r="K159" t="s">
        <v>56</v>
      </c>
      <c r="L159" t="s">
        <v>64</v>
      </c>
      <c r="M159" t="s">
        <v>44</v>
      </c>
      <c r="N159">
        <v>4.7</v>
      </c>
      <c r="O159">
        <v>4.7</v>
      </c>
    </row>
    <row r="160" spans="1:15" x14ac:dyDescent="0.3">
      <c r="A160" t="s">
        <v>501</v>
      </c>
      <c r="B160" t="s">
        <v>249</v>
      </c>
      <c r="C160" t="s">
        <v>502</v>
      </c>
      <c r="D160" t="s">
        <v>81</v>
      </c>
      <c r="E160" t="s">
        <v>268</v>
      </c>
      <c r="F160" t="s">
        <v>351</v>
      </c>
      <c r="G160" t="s">
        <v>2</v>
      </c>
      <c r="H160">
        <v>8.5</v>
      </c>
      <c r="I160">
        <v>22</v>
      </c>
      <c r="J160">
        <v>154</v>
      </c>
      <c r="K160" t="s">
        <v>102</v>
      </c>
      <c r="L160" t="s">
        <v>49</v>
      </c>
      <c r="M160" t="s">
        <v>44</v>
      </c>
      <c r="N160">
        <v>4.3</v>
      </c>
      <c r="O160">
        <v>5</v>
      </c>
    </row>
    <row r="161" spans="1:15" x14ac:dyDescent="0.3">
      <c r="A161" t="s">
        <v>503</v>
      </c>
      <c r="B161" t="s">
        <v>463</v>
      </c>
      <c r="C161" t="s">
        <v>504</v>
      </c>
      <c r="D161" t="s">
        <v>106</v>
      </c>
      <c r="E161" t="s">
        <v>168</v>
      </c>
      <c r="F161" t="s">
        <v>187</v>
      </c>
      <c r="G161" t="s">
        <v>6</v>
      </c>
      <c r="H161">
        <v>3.8</v>
      </c>
      <c r="I161">
        <v>12</v>
      </c>
      <c r="J161">
        <v>155</v>
      </c>
      <c r="K161" t="s">
        <v>56</v>
      </c>
      <c r="L161" t="s">
        <v>71</v>
      </c>
      <c r="M161" t="s">
        <v>44</v>
      </c>
      <c r="N161">
        <v>4.9000000000000004</v>
      </c>
      <c r="O161">
        <v>4.7</v>
      </c>
    </row>
    <row r="162" spans="1:15" x14ac:dyDescent="0.3">
      <c r="A162" t="s">
        <v>505</v>
      </c>
      <c r="B162" t="s">
        <v>132</v>
      </c>
      <c r="C162" t="s">
        <v>506</v>
      </c>
      <c r="D162" t="s">
        <v>30</v>
      </c>
      <c r="E162" t="s">
        <v>100</v>
      </c>
      <c r="F162" t="s">
        <v>31</v>
      </c>
      <c r="G162" t="s">
        <v>2</v>
      </c>
      <c r="H162">
        <v>2.6</v>
      </c>
      <c r="I162">
        <v>8</v>
      </c>
      <c r="J162">
        <v>84</v>
      </c>
      <c r="K162" t="s">
        <v>192</v>
      </c>
      <c r="L162" t="s">
        <v>34</v>
      </c>
      <c r="M162" t="s">
        <v>35</v>
      </c>
      <c r="N162">
        <v>4.4000000000000004</v>
      </c>
      <c r="O162">
        <v>4.8</v>
      </c>
    </row>
    <row r="163" spans="1:15" x14ac:dyDescent="0.3">
      <c r="A163" t="s">
        <v>507</v>
      </c>
      <c r="B163" t="s">
        <v>468</v>
      </c>
      <c r="C163" t="s">
        <v>508</v>
      </c>
      <c r="D163" t="s">
        <v>53</v>
      </c>
      <c r="E163" t="s">
        <v>221</v>
      </c>
      <c r="F163" t="s">
        <v>86</v>
      </c>
      <c r="G163" t="s">
        <v>7</v>
      </c>
      <c r="H163">
        <v>15.9</v>
      </c>
      <c r="I163">
        <v>43</v>
      </c>
      <c r="J163">
        <v>383</v>
      </c>
      <c r="K163" t="s">
        <v>102</v>
      </c>
      <c r="L163" t="s">
        <v>34</v>
      </c>
      <c r="M163" t="s">
        <v>35</v>
      </c>
      <c r="N163">
        <v>4.7</v>
      </c>
      <c r="O163">
        <v>4.7</v>
      </c>
    </row>
    <row r="164" spans="1:15" x14ac:dyDescent="0.3">
      <c r="A164" t="s">
        <v>509</v>
      </c>
      <c r="B164" t="s">
        <v>510</v>
      </c>
      <c r="C164" t="s">
        <v>511</v>
      </c>
      <c r="D164" t="s">
        <v>158</v>
      </c>
      <c r="E164" t="s">
        <v>316</v>
      </c>
      <c r="F164" t="s">
        <v>319</v>
      </c>
      <c r="G164" t="s">
        <v>2</v>
      </c>
      <c r="H164">
        <v>2.1</v>
      </c>
      <c r="I164">
        <v>9</v>
      </c>
      <c r="J164">
        <v>72</v>
      </c>
      <c r="K164" t="s">
        <v>102</v>
      </c>
      <c r="L164" t="s">
        <v>71</v>
      </c>
      <c r="M164" t="s">
        <v>44</v>
      </c>
      <c r="N164">
        <v>5</v>
      </c>
      <c r="O164">
        <v>5</v>
      </c>
    </row>
    <row r="165" spans="1:15" x14ac:dyDescent="0.3">
      <c r="A165" t="s">
        <v>512</v>
      </c>
      <c r="B165" t="s">
        <v>51</v>
      </c>
      <c r="C165" t="s">
        <v>252</v>
      </c>
      <c r="D165" t="s">
        <v>30</v>
      </c>
      <c r="E165" t="s">
        <v>179</v>
      </c>
      <c r="F165" t="s">
        <v>112</v>
      </c>
      <c r="G165" t="s">
        <v>3</v>
      </c>
      <c r="H165">
        <v>6</v>
      </c>
      <c r="I165">
        <v>27</v>
      </c>
      <c r="J165">
        <v>307</v>
      </c>
      <c r="K165" t="s">
        <v>33</v>
      </c>
      <c r="L165" t="s">
        <v>49</v>
      </c>
      <c r="M165" t="s">
        <v>44</v>
      </c>
      <c r="N165">
        <v>4.5999999999999996</v>
      </c>
      <c r="O165">
        <v>4.7</v>
      </c>
    </row>
    <row r="166" spans="1:15" x14ac:dyDescent="0.3">
      <c r="A166" t="s">
        <v>513</v>
      </c>
      <c r="B166" t="s">
        <v>422</v>
      </c>
      <c r="C166" t="s">
        <v>514</v>
      </c>
      <c r="D166" t="s">
        <v>53</v>
      </c>
      <c r="E166" t="s">
        <v>515</v>
      </c>
      <c r="F166" t="s">
        <v>405</v>
      </c>
      <c r="G166" t="s">
        <v>7</v>
      </c>
      <c r="H166">
        <v>1.6</v>
      </c>
      <c r="I166">
        <v>11</v>
      </c>
      <c r="J166">
        <v>155</v>
      </c>
      <c r="K166" t="s">
        <v>102</v>
      </c>
      <c r="L166" t="s">
        <v>71</v>
      </c>
      <c r="M166" t="s">
        <v>44</v>
      </c>
      <c r="N166">
        <v>4.8</v>
      </c>
      <c r="O166">
        <v>4.5999999999999996</v>
      </c>
    </row>
    <row r="167" spans="1:15" x14ac:dyDescent="0.3">
      <c r="A167" t="s">
        <v>516</v>
      </c>
      <c r="B167" t="s">
        <v>228</v>
      </c>
      <c r="C167" t="s">
        <v>517</v>
      </c>
      <c r="D167" t="s">
        <v>61</v>
      </c>
      <c r="E167" t="s">
        <v>183</v>
      </c>
      <c r="F167" t="s">
        <v>96</v>
      </c>
      <c r="G167" t="s">
        <v>3</v>
      </c>
      <c r="H167">
        <v>14</v>
      </c>
      <c r="I167">
        <v>32</v>
      </c>
      <c r="J167">
        <v>748</v>
      </c>
      <c r="K167" t="s">
        <v>33</v>
      </c>
      <c r="L167" t="s">
        <v>64</v>
      </c>
      <c r="M167" t="s">
        <v>44</v>
      </c>
      <c r="N167">
        <v>4.2</v>
      </c>
      <c r="O167">
        <v>4.8</v>
      </c>
    </row>
    <row r="168" spans="1:15" x14ac:dyDescent="0.3">
      <c r="A168" t="s">
        <v>518</v>
      </c>
      <c r="B168" t="s">
        <v>174</v>
      </c>
      <c r="C168" t="s">
        <v>519</v>
      </c>
      <c r="D168" t="s">
        <v>61</v>
      </c>
      <c r="E168" t="s">
        <v>191</v>
      </c>
      <c r="F168" t="s">
        <v>96</v>
      </c>
      <c r="G168" t="s">
        <v>7</v>
      </c>
      <c r="H168">
        <v>10.6</v>
      </c>
      <c r="I168">
        <v>30</v>
      </c>
      <c r="J168">
        <v>412</v>
      </c>
      <c r="K168" t="s">
        <v>102</v>
      </c>
      <c r="L168" t="s">
        <v>43</v>
      </c>
      <c r="M168" t="s">
        <v>44</v>
      </c>
      <c r="N168">
        <v>5</v>
      </c>
      <c r="O168">
        <v>4.8</v>
      </c>
    </row>
    <row r="169" spans="1:15" x14ac:dyDescent="0.3">
      <c r="A169" t="s">
        <v>520</v>
      </c>
      <c r="B169" t="s">
        <v>270</v>
      </c>
      <c r="C169" t="s">
        <v>521</v>
      </c>
      <c r="D169" t="s">
        <v>75</v>
      </c>
      <c r="E169" t="s">
        <v>313</v>
      </c>
      <c r="F169" t="s">
        <v>77</v>
      </c>
      <c r="G169" t="s">
        <v>6</v>
      </c>
      <c r="H169">
        <v>2.9</v>
      </c>
      <c r="I169">
        <v>9</v>
      </c>
      <c r="J169">
        <v>109</v>
      </c>
      <c r="K169" t="s">
        <v>42</v>
      </c>
      <c r="L169" t="s">
        <v>49</v>
      </c>
      <c r="M169" t="s">
        <v>44</v>
      </c>
      <c r="N169">
        <v>4.5999999999999996</v>
      </c>
      <c r="O169">
        <v>4.9000000000000004</v>
      </c>
    </row>
    <row r="170" spans="1:15" x14ac:dyDescent="0.3">
      <c r="A170" t="s">
        <v>522</v>
      </c>
      <c r="B170" t="s">
        <v>523</v>
      </c>
      <c r="C170" t="s">
        <v>524</v>
      </c>
      <c r="D170" t="s">
        <v>30</v>
      </c>
      <c r="E170" t="s">
        <v>101</v>
      </c>
      <c r="F170" t="s">
        <v>32</v>
      </c>
      <c r="G170" t="s">
        <v>4</v>
      </c>
      <c r="H170">
        <v>11.8</v>
      </c>
      <c r="I170">
        <v>31</v>
      </c>
      <c r="J170">
        <v>420</v>
      </c>
      <c r="K170" t="s">
        <v>33</v>
      </c>
      <c r="L170" t="s">
        <v>71</v>
      </c>
      <c r="M170" t="s">
        <v>44</v>
      </c>
      <c r="N170">
        <v>5</v>
      </c>
      <c r="O170">
        <v>4.8</v>
      </c>
    </row>
    <row r="171" spans="1:15" x14ac:dyDescent="0.3">
      <c r="A171" t="s">
        <v>525</v>
      </c>
      <c r="B171" t="s">
        <v>450</v>
      </c>
      <c r="C171" t="s">
        <v>526</v>
      </c>
      <c r="D171" t="s">
        <v>53</v>
      </c>
      <c r="E171" t="s">
        <v>515</v>
      </c>
      <c r="F171" t="s">
        <v>236</v>
      </c>
      <c r="G171" t="s">
        <v>7</v>
      </c>
      <c r="H171">
        <v>5</v>
      </c>
      <c r="I171">
        <v>18</v>
      </c>
      <c r="J171">
        <v>263</v>
      </c>
      <c r="K171" t="s">
        <v>33</v>
      </c>
      <c r="L171" t="s">
        <v>43</v>
      </c>
      <c r="M171" t="s">
        <v>44</v>
      </c>
      <c r="N171">
        <v>4.9000000000000004</v>
      </c>
      <c r="O171">
        <v>4.7</v>
      </c>
    </row>
    <row r="172" spans="1:15" x14ac:dyDescent="0.3">
      <c r="A172" t="s">
        <v>527</v>
      </c>
      <c r="B172" t="s">
        <v>177</v>
      </c>
      <c r="C172" t="s">
        <v>528</v>
      </c>
      <c r="D172" t="s">
        <v>81</v>
      </c>
      <c r="E172" t="s">
        <v>134</v>
      </c>
      <c r="F172" t="s">
        <v>268</v>
      </c>
      <c r="G172" t="s">
        <v>3</v>
      </c>
      <c r="H172">
        <v>3.6</v>
      </c>
      <c r="I172">
        <v>11</v>
      </c>
      <c r="J172">
        <v>243</v>
      </c>
      <c r="K172" t="s">
        <v>102</v>
      </c>
      <c r="L172" t="s">
        <v>34</v>
      </c>
      <c r="M172" t="s">
        <v>35</v>
      </c>
      <c r="N172">
        <v>4.8</v>
      </c>
      <c r="O172">
        <v>4.8</v>
      </c>
    </row>
    <row r="173" spans="1:15" x14ac:dyDescent="0.3">
      <c r="A173" t="s">
        <v>529</v>
      </c>
      <c r="B173" t="s">
        <v>407</v>
      </c>
      <c r="C173" t="s">
        <v>310</v>
      </c>
      <c r="D173" t="s">
        <v>53</v>
      </c>
      <c r="E173" t="s">
        <v>515</v>
      </c>
      <c r="F173" t="s">
        <v>405</v>
      </c>
      <c r="G173" t="s">
        <v>6</v>
      </c>
      <c r="H173">
        <v>12.6</v>
      </c>
      <c r="I173">
        <v>29</v>
      </c>
      <c r="J173">
        <v>334</v>
      </c>
      <c r="K173" t="s">
        <v>42</v>
      </c>
      <c r="L173" t="s">
        <v>43</v>
      </c>
      <c r="M173" t="s">
        <v>44</v>
      </c>
      <c r="N173">
        <v>5</v>
      </c>
      <c r="O173">
        <v>5</v>
      </c>
    </row>
    <row r="174" spans="1:15" x14ac:dyDescent="0.3">
      <c r="A174" t="s">
        <v>530</v>
      </c>
      <c r="B174" t="s">
        <v>531</v>
      </c>
      <c r="C174" t="s">
        <v>532</v>
      </c>
      <c r="D174" t="s">
        <v>39</v>
      </c>
      <c r="E174" t="s">
        <v>48</v>
      </c>
      <c r="F174" t="s">
        <v>278</v>
      </c>
      <c r="G174" t="s">
        <v>2</v>
      </c>
      <c r="H174">
        <v>3.4</v>
      </c>
      <c r="I174">
        <v>5</v>
      </c>
      <c r="J174">
        <v>81</v>
      </c>
      <c r="K174" t="s">
        <v>33</v>
      </c>
      <c r="L174" t="s">
        <v>49</v>
      </c>
      <c r="M174" t="s">
        <v>44</v>
      </c>
      <c r="N174">
        <v>5</v>
      </c>
      <c r="O174">
        <v>4.7</v>
      </c>
    </row>
    <row r="175" spans="1:15" x14ac:dyDescent="0.3">
      <c r="A175" t="s">
        <v>533</v>
      </c>
      <c r="B175" t="s">
        <v>309</v>
      </c>
      <c r="C175" t="s">
        <v>534</v>
      </c>
      <c r="D175" t="s">
        <v>30</v>
      </c>
      <c r="E175" t="s">
        <v>112</v>
      </c>
      <c r="F175" t="s">
        <v>138</v>
      </c>
      <c r="G175" t="s">
        <v>2</v>
      </c>
      <c r="H175">
        <v>4.8</v>
      </c>
      <c r="I175">
        <v>13</v>
      </c>
      <c r="J175">
        <v>96</v>
      </c>
      <c r="K175" t="s">
        <v>102</v>
      </c>
      <c r="L175" t="s">
        <v>49</v>
      </c>
      <c r="M175" t="s">
        <v>44</v>
      </c>
      <c r="N175">
        <v>4.5</v>
      </c>
      <c r="O175">
        <v>4.7</v>
      </c>
    </row>
    <row r="176" spans="1:15" x14ac:dyDescent="0.3">
      <c r="A176" t="s">
        <v>535</v>
      </c>
      <c r="B176" t="s">
        <v>536</v>
      </c>
      <c r="C176" t="s">
        <v>537</v>
      </c>
      <c r="D176" t="s">
        <v>61</v>
      </c>
      <c r="E176" t="s">
        <v>183</v>
      </c>
      <c r="F176" t="s">
        <v>95</v>
      </c>
      <c r="G176" t="s">
        <v>2</v>
      </c>
      <c r="H176">
        <v>8.6999999999999993</v>
      </c>
      <c r="I176">
        <v>19</v>
      </c>
      <c r="J176">
        <v>127</v>
      </c>
      <c r="K176" t="s">
        <v>33</v>
      </c>
      <c r="L176" t="s">
        <v>161</v>
      </c>
      <c r="M176" t="s">
        <v>35</v>
      </c>
      <c r="N176">
        <v>4.9000000000000004</v>
      </c>
      <c r="O176">
        <v>4.8</v>
      </c>
    </row>
    <row r="177" spans="1:15" x14ac:dyDescent="0.3">
      <c r="A177" t="s">
        <v>538</v>
      </c>
      <c r="B177" t="s">
        <v>254</v>
      </c>
      <c r="C177" t="s">
        <v>539</v>
      </c>
      <c r="D177" t="s">
        <v>30</v>
      </c>
      <c r="E177" t="s">
        <v>32</v>
      </c>
      <c r="F177" t="s">
        <v>100</v>
      </c>
      <c r="G177" t="s">
        <v>3</v>
      </c>
      <c r="H177">
        <v>3.6</v>
      </c>
      <c r="I177">
        <v>10</v>
      </c>
      <c r="J177">
        <v>239</v>
      </c>
      <c r="K177" t="s">
        <v>42</v>
      </c>
      <c r="L177" t="s">
        <v>49</v>
      </c>
      <c r="M177" t="s">
        <v>44</v>
      </c>
      <c r="N177">
        <v>4.9000000000000004</v>
      </c>
      <c r="O177">
        <v>4.8</v>
      </c>
    </row>
    <row r="178" spans="1:15" x14ac:dyDescent="0.3">
      <c r="A178" t="s">
        <v>540</v>
      </c>
      <c r="B178" t="s">
        <v>166</v>
      </c>
      <c r="C178" t="s">
        <v>541</v>
      </c>
      <c r="D178" t="s">
        <v>106</v>
      </c>
      <c r="E178" t="s">
        <v>472</v>
      </c>
      <c r="F178" t="s">
        <v>126</v>
      </c>
      <c r="G178" t="s">
        <v>3</v>
      </c>
      <c r="H178">
        <v>7.3</v>
      </c>
      <c r="I178">
        <v>17</v>
      </c>
      <c r="J178">
        <v>423</v>
      </c>
      <c r="K178" t="s">
        <v>42</v>
      </c>
      <c r="L178" t="s">
        <v>43</v>
      </c>
      <c r="M178" t="s">
        <v>44</v>
      </c>
      <c r="N178">
        <v>4.5</v>
      </c>
      <c r="O178">
        <v>4.8</v>
      </c>
    </row>
    <row r="179" spans="1:15" x14ac:dyDescent="0.3">
      <c r="A179" t="s">
        <v>542</v>
      </c>
      <c r="B179" t="s">
        <v>140</v>
      </c>
      <c r="C179" t="s">
        <v>543</v>
      </c>
      <c r="D179" t="s">
        <v>61</v>
      </c>
      <c r="E179" t="s">
        <v>328</v>
      </c>
      <c r="F179" t="s">
        <v>183</v>
      </c>
      <c r="G179" t="s">
        <v>6</v>
      </c>
      <c r="H179">
        <v>2.9</v>
      </c>
      <c r="I179">
        <v>5</v>
      </c>
      <c r="J179">
        <v>120</v>
      </c>
      <c r="K179" t="s">
        <v>42</v>
      </c>
      <c r="L179" t="s">
        <v>64</v>
      </c>
      <c r="M179" t="s">
        <v>44</v>
      </c>
      <c r="N179">
        <v>4.8</v>
      </c>
      <c r="O179">
        <v>5</v>
      </c>
    </row>
    <row r="180" spans="1:15" x14ac:dyDescent="0.3">
      <c r="A180" t="s">
        <v>544</v>
      </c>
      <c r="B180" t="s">
        <v>545</v>
      </c>
      <c r="C180" t="s">
        <v>546</v>
      </c>
      <c r="D180" t="s">
        <v>158</v>
      </c>
      <c r="E180" t="s">
        <v>262</v>
      </c>
      <c r="F180" t="s">
        <v>160</v>
      </c>
      <c r="G180" t="s">
        <v>5</v>
      </c>
      <c r="H180">
        <v>6.8</v>
      </c>
      <c r="I180">
        <v>20</v>
      </c>
      <c r="J180">
        <v>188</v>
      </c>
      <c r="K180" t="s">
        <v>33</v>
      </c>
      <c r="L180" t="s">
        <v>64</v>
      </c>
      <c r="M180" t="s">
        <v>44</v>
      </c>
      <c r="N180">
        <v>4.2</v>
      </c>
      <c r="O180">
        <v>4.7</v>
      </c>
    </row>
    <row r="181" spans="1:15" x14ac:dyDescent="0.3">
      <c r="A181" t="s">
        <v>547</v>
      </c>
      <c r="B181" t="s">
        <v>148</v>
      </c>
      <c r="C181" t="s">
        <v>548</v>
      </c>
      <c r="D181" t="s">
        <v>81</v>
      </c>
      <c r="E181" t="s">
        <v>134</v>
      </c>
      <c r="F181" t="s">
        <v>268</v>
      </c>
      <c r="G181" t="s">
        <v>4</v>
      </c>
      <c r="H181">
        <v>7</v>
      </c>
      <c r="I181">
        <v>14</v>
      </c>
      <c r="J181">
        <v>331</v>
      </c>
      <c r="K181" t="s">
        <v>42</v>
      </c>
      <c r="L181" t="s">
        <v>43</v>
      </c>
      <c r="M181" t="s">
        <v>44</v>
      </c>
      <c r="N181">
        <v>4.5</v>
      </c>
      <c r="O181">
        <v>4.5999999999999996</v>
      </c>
    </row>
    <row r="182" spans="1:15" x14ac:dyDescent="0.3">
      <c r="A182" t="s">
        <v>549</v>
      </c>
      <c r="B182" t="s">
        <v>450</v>
      </c>
      <c r="C182" t="s">
        <v>550</v>
      </c>
      <c r="D182" t="s">
        <v>53</v>
      </c>
      <c r="E182" t="s">
        <v>515</v>
      </c>
      <c r="F182" t="s">
        <v>220</v>
      </c>
      <c r="G182" t="s">
        <v>3</v>
      </c>
      <c r="H182">
        <v>1.1000000000000001</v>
      </c>
      <c r="I182">
        <v>5</v>
      </c>
      <c r="J182">
        <v>248</v>
      </c>
      <c r="K182" t="s">
        <v>33</v>
      </c>
      <c r="L182" t="s">
        <v>71</v>
      </c>
      <c r="M182" t="s">
        <v>44</v>
      </c>
      <c r="N182">
        <v>5</v>
      </c>
      <c r="O182">
        <v>4.5999999999999996</v>
      </c>
    </row>
    <row r="183" spans="1:15" x14ac:dyDescent="0.3">
      <c r="A183" t="s">
        <v>551</v>
      </c>
      <c r="B183" t="s">
        <v>552</v>
      </c>
      <c r="C183" t="s">
        <v>553</v>
      </c>
      <c r="D183" t="s">
        <v>39</v>
      </c>
      <c r="E183" t="s">
        <v>41</v>
      </c>
      <c r="F183" t="s">
        <v>356</v>
      </c>
      <c r="G183" t="s">
        <v>6</v>
      </c>
      <c r="H183">
        <v>4.8</v>
      </c>
      <c r="I183">
        <v>24</v>
      </c>
      <c r="J183">
        <v>180</v>
      </c>
      <c r="K183" t="s">
        <v>33</v>
      </c>
      <c r="L183" t="s">
        <v>71</v>
      </c>
      <c r="M183" t="s">
        <v>44</v>
      </c>
      <c r="N183">
        <v>4.7</v>
      </c>
      <c r="O183">
        <v>4.7</v>
      </c>
    </row>
    <row r="184" spans="1:15" x14ac:dyDescent="0.3">
      <c r="A184" t="s">
        <v>554</v>
      </c>
      <c r="B184" t="s">
        <v>177</v>
      </c>
      <c r="C184" t="s">
        <v>555</v>
      </c>
      <c r="D184" t="s">
        <v>106</v>
      </c>
      <c r="E184" t="s">
        <v>472</v>
      </c>
      <c r="F184" t="s">
        <v>168</v>
      </c>
      <c r="G184" t="s">
        <v>6</v>
      </c>
      <c r="H184">
        <v>20.399999999999999</v>
      </c>
      <c r="I184">
        <v>42</v>
      </c>
      <c r="J184">
        <v>344</v>
      </c>
      <c r="K184" t="s">
        <v>33</v>
      </c>
      <c r="L184" t="s">
        <v>78</v>
      </c>
      <c r="M184" t="s">
        <v>44</v>
      </c>
      <c r="N184">
        <v>4.7</v>
      </c>
      <c r="O184">
        <v>4.7</v>
      </c>
    </row>
    <row r="185" spans="1:15" x14ac:dyDescent="0.3">
      <c r="A185" t="s">
        <v>556</v>
      </c>
      <c r="B185" t="s">
        <v>300</v>
      </c>
      <c r="C185" t="s">
        <v>557</v>
      </c>
      <c r="D185" t="s">
        <v>30</v>
      </c>
      <c r="E185" t="s">
        <v>31</v>
      </c>
      <c r="F185" t="s">
        <v>101</v>
      </c>
      <c r="G185" t="s">
        <v>2</v>
      </c>
      <c r="H185">
        <v>3.8</v>
      </c>
      <c r="I185">
        <v>16</v>
      </c>
      <c r="J185">
        <v>87</v>
      </c>
      <c r="K185" t="s">
        <v>42</v>
      </c>
      <c r="L185" t="s">
        <v>64</v>
      </c>
      <c r="M185" t="s">
        <v>44</v>
      </c>
      <c r="N185">
        <v>4.7</v>
      </c>
      <c r="O185">
        <v>4.8</v>
      </c>
    </row>
    <row r="186" spans="1:15" x14ac:dyDescent="0.3">
      <c r="A186" t="s">
        <v>558</v>
      </c>
      <c r="B186" t="s">
        <v>59</v>
      </c>
      <c r="C186" t="s">
        <v>559</v>
      </c>
      <c r="D186" t="s">
        <v>106</v>
      </c>
      <c r="E186" t="s">
        <v>472</v>
      </c>
      <c r="F186" t="s">
        <v>187</v>
      </c>
      <c r="G186" t="s">
        <v>5</v>
      </c>
      <c r="H186">
        <v>1.6</v>
      </c>
      <c r="I186">
        <v>5</v>
      </c>
      <c r="J186">
        <v>132</v>
      </c>
      <c r="K186" t="s">
        <v>33</v>
      </c>
      <c r="L186" t="s">
        <v>71</v>
      </c>
      <c r="M186" t="s">
        <v>44</v>
      </c>
      <c r="N186">
        <v>5</v>
      </c>
      <c r="O186">
        <v>4.9000000000000004</v>
      </c>
    </row>
    <row r="187" spans="1:15" x14ac:dyDescent="0.3">
      <c r="A187" t="s">
        <v>560</v>
      </c>
      <c r="B187" t="s">
        <v>400</v>
      </c>
      <c r="C187" t="s">
        <v>289</v>
      </c>
      <c r="D187" t="s">
        <v>30</v>
      </c>
      <c r="E187" t="s">
        <v>32</v>
      </c>
      <c r="F187" t="s">
        <v>138</v>
      </c>
      <c r="G187" t="s">
        <v>2</v>
      </c>
      <c r="H187">
        <v>6</v>
      </c>
      <c r="I187">
        <v>14</v>
      </c>
      <c r="J187">
        <v>141</v>
      </c>
      <c r="K187" t="s">
        <v>102</v>
      </c>
      <c r="L187" t="s">
        <v>43</v>
      </c>
      <c r="M187" t="s">
        <v>44</v>
      </c>
      <c r="N187">
        <v>4.7</v>
      </c>
      <c r="O187">
        <v>4.5999999999999996</v>
      </c>
    </row>
    <row r="188" spans="1:15" x14ac:dyDescent="0.3">
      <c r="A188" t="s">
        <v>561</v>
      </c>
      <c r="B188" t="s">
        <v>562</v>
      </c>
      <c r="C188" t="s">
        <v>563</v>
      </c>
      <c r="D188" t="s">
        <v>53</v>
      </c>
      <c r="E188" t="s">
        <v>220</v>
      </c>
      <c r="F188" t="s">
        <v>86</v>
      </c>
      <c r="G188" t="s">
        <v>5</v>
      </c>
      <c r="H188">
        <v>8</v>
      </c>
      <c r="I188">
        <v>23</v>
      </c>
      <c r="J188">
        <v>194</v>
      </c>
      <c r="K188" t="s">
        <v>33</v>
      </c>
      <c r="L188" t="s">
        <v>43</v>
      </c>
      <c r="M188" t="s">
        <v>44</v>
      </c>
      <c r="N188">
        <v>4.7</v>
      </c>
      <c r="O188">
        <v>5</v>
      </c>
    </row>
    <row r="189" spans="1:15" x14ac:dyDescent="0.3">
      <c r="A189" t="s">
        <v>564</v>
      </c>
      <c r="B189" t="s">
        <v>481</v>
      </c>
      <c r="C189" t="s">
        <v>565</v>
      </c>
      <c r="D189" t="s">
        <v>68</v>
      </c>
      <c r="E189" t="s">
        <v>150</v>
      </c>
      <c r="F189" t="s">
        <v>195</v>
      </c>
      <c r="G189" t="s">
        <v>4</v>
      </c>
      <c r="H189">
        <v>1.7</v>
      </c>
      <c r="I189">
        <v>7</v>
      </c>
      <c r="J189">
        <v>141</v>
      </c>
      <c r="K189" t="s">
        <v>42</v>
      </c>
      <c r="L189" t="s">
        <v>71</v>
      </c>
      <c r="M189" t="s">
        <v>44</v>
      </c>
      <c r="N189">
        <v>4.5</v>
      </c>
      <c r="O189">
        <v>5</v>
      </c>
    </row>
    <row r="190" spans="1:15" x14ac:dyDescent="0.3">
      <c r="A190" t="s">
        <v>566</v>
      </c>
      <c r="B190" t="s">
        <v>370</v>
      </c>
      <c r="C190" t="s">
        <v>567</v>
      </c>
      <c r="D190" t="s">
        <v>68</v>
      </c>
      <c r="E190" t="s">
        <v>130</v>
      </c>
      <c r="F190" t="s">
        <v>70</v>
      </c>
      <c r="G190" t="s">
        <v>6</v>
      </c>
      <c r="H190">
        <v>6.5</v>
      </c>
      <c r="I190">
        <v>17</v>
      </c>
      <c r="J190">
        <v>147</v>
      </c>
      <c r="K190" t="s">
        <v>102</v>
      </c>
      <c r="L190" t="s">
        <v>64</v>
      </c>
      <c r="M190" t="s">
        <v>44</v>
      </c>
      <c r="N190">
        <v>4.5</v>
      </c>
      <c r="O190">
        <v>4.7</v>
      </c>
    </row>
    <row r="191" spans="1:15" x14ac:dyDescent="0.3">
      <c r="A191" t="s">
        <v>568</v>
      </c>
      <c r="B191" t="s">
        <v>403</v>
      </c>
      <c r="C191" t="s">
        <v>569</v>
      </c>
      <c r="D191" t="s">
        <v>53</v>
      </c>
      <c r="E191" t="s">
        <v>55</v>
      </c>
      <c r="F191" t="s">
        <v>236</v>
      </c>
      <c r="G191" t="s">
        <v>3</v>
      </c>
      <c r="H191">
        <v>15.6</v>
      </c>
      <c r="I191">
        <v>41</v>
      </c>
      <c r="J191">
        <v>664</v>
      </c>
      <c r="K191" t="s">
        <v>56</v>
      </c>
      <c r="L191" t="s">
        <v>78</v>
      </c>
      <c r="M191" t="s">
        <v>44</v>
      </c>
      <c r="N191">
        <v>5</v>
      </c>
      <c r="O191">
        <v>4.8</v>
      </c>
    </row>
    <row r="192" spans="1:15" x14ac:dyDescent="0.3">
      <c r="A192" t="s">
        <v>570</v>
      </c>
      <c r="B192" t="s">
        <v>407</v>
      </c>
      <c r="C192" t="s">
        <v>571</v>
      </c>
      <c r="D192" t="s">
        <v>61</v>
      </c>
      <c r="E192" t="s">
        <v>95</v>
      </c>
      <c r="F192" t="s">
        <v>63</v>
      </c>
      <c r="G192" t="s">
        <v>6</v>
      </c>
      <c r="H192">
        <v>7.5</v>
      </c>
      <c r="I192">
        <v>23</v>
      </c>
      <c r="J192">
        <v>251</v>
      </c>
      <c r="K192" t="s">
        <v>33</v>
      </c>
      <c r="L192" t="s">
        <v>71</v>
      </c>
      <c r="M192" t="s">
        <v>44</v>
      </c>
      <c r="N192">
        <v>4.5999999999999996</v>
      </c>
      <c r="O192">
        <v>4.7</v>
      </c>
    </row>
    <row r="193" spans="1:15" x14ac:dyDescent="0.3">
      <c r="A193" t="s">
        <v>572</v>
      </c>
      <c r="B193" t="s">
        <v>531</v>
      </c>
      <c r="C193" t="s">
        <v>573</v>
      </c>
      <c r="D193" t="s">
        <v>75</v>
      </c>
      <c r="E193" t="s">
        <v>76</v>
      </c>
      <c r="F193" t="s">
        <v>394</v>
      </c>
      <c r="G193" t="s">
        <v>2</v>
      </c>
      <c r="H193">
        <v>2.7</v>
      </c>
      <c r="I193">
        <v>12</v>
      </c>
      <c r="J193">
        <v>86</v>
      </c>
      <c r="K193" t="s">
        <v>102</v>
      </c>
      <c r="L193" t="s">
        <v>43</v>
      </c>
      <c r="M193" t="s">
        <v>44</v>
      </c>
      <c r="N193">
        <v>4.8</v>
      </c>
      <c r="O193">
        <v>5</v>
      </c>
    </row>
    <row r="194" spans="1:15" x14ac:dyDescent="0.3">
      <c r="A194" t="s">
        <v>574</v>
      </c>
      <c r="B194" t="s">
        <v>59</v>
      </c>
      <c r="C194" t="s">
        <v>575</v>
      </c>
      <c r="D194" t="s">
        <v>158</v>
      </c>
      <c r="E194" t="s">
        <v>284</v>
      </c>
      <c r="F194" t="s">
        <v>160</v>
      </c>
      <c r="G194" t="s">
        <v>7</v>
      </c>
      <c r="H194">
        <v>10.8</v>
      </c>
      <c r="I194">
        <v>28</v>
      </c>
      <c r="J194">
        <v>377</v>
      </c>
      <c r="K194" t="s">
        <v>33</v>
      </c>
      <c r="L194" t="s">
        <v>71</v>
      </c>
      <c r="M194" t="s">
        <v>44</v>
      </c>
      <c r="N194">
        <v>4.7</v>
      </c>
      <c r="O194">
        <v>4.7</v>
      </c>
    </row>
    <row r="195" spans="1:15" x14ac:dyDescent="0.3">
      <c r="A195" t="s">
        <v>576</v>
      </c>
      <c r="B195" t="s">
        <v>481</v>
      </c>
      <c r="C195" t="s">
        <v>577</v>
      </c>
      <c r="D195" t="s">
        <v>75</v>
      </c>
      <c r="E195" t="s">
        <v>578</v>
      </c>
      <c r="F195" t="s">
        <v>313</v>
      </c>
      <c r="G195" t="s">
        <v>2</v>
      </c>
      <c r="H195">
        <v>4.3</v>
      </c>
      <c r="I195">
        <v>18</v>
      </c>
      <c r="J195">
        <v>96</v>
      </c>
      <c r="K195" t="s">
        <v>33</v>
      </c>
      <c r="L195" t="s">
        <v>34</v>
      </c>
      <c r="M195" t="s">
        <v>35</v>
      </c>
      <c r="N195">
        <v>4.9000000000000004</v>
      </c>
      <c r="O195">
        <v>4.5</v>
      </c>
    </row>
    <row r="196" spans="1:15" x14ac:dyDescent="0.3">
      <c r="A196" t="s">
        <v>579</v>
      </c>
      <c r="B196" t="s">
        <v>373</v>
      </c>
      <c r="C196" t="s">
        <v>580</v>
      </c>
      <c r="D196" t="s">
        <v>30</v>
      </c>
      <c r="E196" t="s">
        <v>100</v>
      </c>
      <c r="F196" t="s">
        <v>101</v>
      </c>
      <c r="G196" t="s">
        <v>5</v>
      </c>
      <c r="H196">
        <v>3.5</v>
      </c>
      <c r="I196">
        <v>10</v>
      </c>
      <c r="J196">
        <v>139</v>
      </c>
      <c r="K196" t="s">
        <v>102</v>
      </c>
      <c r="L196" t="s">
        <v>71</v>
      </c>
      <c r="M196" t="s">
        <v>44</v>
      </c>
      <c r="N196">
        <v>4.7</v>
      </c>
      <c r="O196">
        <v>4.8</v>
      </c>
    </row>
    <row r="197" spans="1:15" x14ac:dyDescent="0.3">
      <c r="A197" t="s">
        <v>581</v>
      </c>
      <c r="B197" t="s">
        <v>349</v>
      </c>
      <c r="C197" t="s">
        <v>582</v>
      </c>
      <c r="D197" t="s">
        <v>30</v>
      </c>
      <c r="E197" t="s">
        <v>31</v>
      </c>
      <c r="F197" t="s">
        <v>101</v>
      </c>
      <c r="G197" t="s">
        <v>2</v>
      </c>
      <c r="H197">
        <v>4.2</v>
      </c>
      <c r="I197">
        <v>19</v>
      </c>
      <c r="J197">
        <v>93</v>
      </c>
      <c r="K197" t="s">
        <v>42</v>
      </c>
      <c r="L197" t="s">
        <v>78</v>
      </c>
      <c r="M197" t="s">
        <v>44</v>
      </c>
      <c r="N197">
        <v>4.5999999999999996</v>
      </c>
      <c r="O197">
        <v>5</v>
      </c>
    </row>
    <row r="198" spans="1:15" x14ac:dyDescent="0.3">
      <c r="A198" t="s">
        <v>583</v>
      </c>
      <c r="B198" t="s">
        <v>200</v>
      </c>
      <c r="C198" t="s">
        <v>584</v>
      </c>
      <c r="D198" t="s">
        <v>75</v>
      </c>
      <c r="E198" t="s">
        <v>313</v>
      </c>
      <c r="F198" t="s">
        <v>578</v>
      </c>
      <c r="G198" t="s">
        <v>6</v>
      </c>
      <c r="H198">
        <v>2.9</v>
      </c>
      <c r="I198">
        <v>9</v>
      </c>
      <c r="J198">
        <v>80</v>
      </c>
      <c r="K198" t="s">
        <v>33</v>
      </c>
      <c r="L198" t="s">
        <v>49</v>
      </c>
      <c r="M198" t="s">
        <v>44</v>
      </c>
      <c r="N198">
        <v>4.8</v>
      </c>
      <c r="O198">
        <v>4.5999999999999996</v>
      </c>
    </row>
    <row r="199" spans="1:15" x14ac:dyDescent="0.3">
      <c r="A199" t="s">
        <v>585</v>
      </c>
      <c r="B199" t="s">
        <v>586</v>
      </c>
      <c r="C199" t="s">
        <v>587</v>
      </c>
      <c r="D199" t="s">
        <v>158</v>
      </c>
      <c r="E199" t="s">
        <v>159</v>
      </c>
      <c r="F199" t="s">
        <v>262</v>
      </c>
      <c r="G199" t="s">
        <v>2</v>
      </c>
      <c r="H199">
        <v>2.5</v>
      </c>
      <c r="I199">
        <v>8</v>
      </c>
      <c r="J199">
        <v>81</v>
      </c>
      <c r="K199" t="s">
        <v>33</v>
      </c>
      <c r="L199" t="s">
        <v>43</v>
      </c>
      <c r="M199" t="s">
        <v>44</v>
      </c>
      <c r="N199">
        <v>4.5</v>
      </c>
      <c r="O199">
        <v>4.7</v>
      </c>
    </row>
    <row r="200" spans="1:15" x14ac:dyDescent="0.3">
      <c r="A200" t="s">
        <v>588</v>
      </c>
      <c r="B200" t="s">
        <v>450</v>
      </c>
      <c r="C200" t="s">
        <v>589</v>
      </c>
      <c r="D200" t="s">
        <v>30</v>
      </c>
      <c r="E200" t="s">
        <v>138</v>
      </c>
      <c r="F200" t="s">
        <v>32</v>
      </c>
      <c r="G200" t="s">
        <v>6</v>
      </c>
      <c r="H200">
        <v>5.2</v>
      </c>
      <c r="I200">
        <v>19</v>
      </c>
      <c r="J200">
        <v>175</v>
      </c>
      <c r="K200" t="s">
        <v>33</v>
      </c>
      <c r="L200" t="s">
        <v>71</v>
      </c>
      <c r="M200" t="s">
        <v>44</v>
      </c>
      <c r="N200">
        <v>4.7</v>
      </c>
      <c r="O200">
        <v>5</v>
      </c>
    </row>
    <row r="201" spans="1:15" x14ac:dyDescent="0.3">
      <c r="A201" t="s">
        <v>590</v>
      </c>
      <c r="B201" t="s">
        <v>205</v>
      </c>
      <c r="C201" t="s">
        <v>591</v>
      </c>
      <c r="D201" t="s">
        <v>106</v>
      </c>
      <c r="E201" t="s">
        <v>107</v>
      </c>
      <c r="F201" t="s">
        <v>472</v>
      </c>
      <c r="G201" t="s">
        <v>2</v>
      </c>
      <c r="H201">
        <v>6.1</v>
      </c>
      <c r="I201">
        <v>10</v>
      </c>
      <c r="J201">
        <v>118</v>
      </c>
      <c r="K201" t="s">
        <v>42</v>
      </c>
      <c r="L201" t="s">
        <v>78</v>
      </c>
      <c r="M201" t="s">
        <v>44</v>
      </c>
      <c r="N201">
        <v>4.7</v>
      </c>
      <c r="O201">
        <v>4.7</v>
      </c>
    </row>
    <row r="202" spans="1:15" x14ac:dyDescent="0.3">
      <c r="A202" t="s">
        <v>592</v>
      </c>
      <c r="B202" t="s">
        <v>400</v>
      </c>
      <c r="C202" t="s">
        <v>593</v>
      </c>
      <c r="D202" t="s">
        <v>106</v>
      </c>
      <c r="E202" t="s">
        <v>107</v>
      </c>
      <c r="F202" t="s">
        <v>290</v>
      </c>
      <c r="G202" t="s">
        <v>6</v>
      </c>
      <c r="H202">
        <v>5.0999999999999996</v>
      </c>
      <c r="I202">
        <v>7</v>
      </c>
      <c r="J202">
        <v>103</v>
      </c>
      <c r="K202" t="s">
        <v>33</v>
      </c>
      <c r="L202" t="s">
        <v>57</v>
      </c>
      <c r="M202" t="s">
        <v>35</v>
      </c>
      <c r="N202">
        <v>4.3</v>
      </c>
      <c r="O202">
        <v>4.5</v>
      </c>
    </row>
    <row r="203" spans="1:15" x14ac:dyDescent="0.3">
      <c r="A203" t="s">
        <v>594</v>
      </c>
      <c r="B203" t="s">
        <v>249</v>
      </c>
      <c r="C203" t="s">
        <v>595</v>
      </c>
      <c r="D203" t="s">
        <v>158</v>
      </c>
      <c r="E203" t="s">
        <v>316</v>
      </c>
      <c r="F203" t="s">
        <v>284</v>
      </c>
      <c r="G203" t="s">
        <v>3</v>
      </c>
      <c r="H203">
        <v>4.8</v>
      </c>
      <c r="I203">
        <v>16</v>
      </c>
      <c r="J203">
        <v>333</v>
      </c>
      <c r="K203" t="s">
        <v>33</v>
      </c>
      <c r="L203" t="s">
        <v>49</v>
      </c>
      <c r="M203" t="s">
        <v>44</v>
      </c>
      <c r="N203">
        <v>4.4000000000000004</v>
      </c>
      <c r="O203">
        <v>4.5</v>
      </c>
    </row>
    <row r="204" spans="1:15" x14ac:dyDescent="0.3">
      <c r="A204" t="s">
        <v>596</v>
      </c>
      <c r="B204" t="s">
        <v>200</v>
      </c>
      <c r="C204" t="s">
        <v>597</v>
      </c>
      <c r="D204" t="s">
        <v>106</v>
      </c>
      <c r="E204" t="s">
        <v>108</v>
      </c>
      <c r="F204" t="s">
        <v>290</v>
      </c>
      <c r="G204" t="s">
        <v>6</v>
      </c>
      <c r="H204">
        <v>11.3</v>
      </c>
      <c r="I204">
        <v>22</v>
      </c>
      <c r="J204">
        <v>348</v>
      </c>
      <c r="K204" t="s">
        <v>33</v>
      </c>
      <c r="L204" t="s">
        <v>71</v>
      </c>
      <c r="M204" t="s">
        <v>44</v>
      </c>
      <c r="N204">
        <v>4.5</v>
      </c>
      <c r="O204">
        <v>4.5</v>
      </c>
    </row>
    <row r="205" spans="1:15" x14ac:dyDescent="0.3">
      <c r="A205" t="s">
        <v>598</v>
      </c>
      <c r="B205" t="s">
        <v>205</v>
      </c>
      <c r="C205" t="s">
        <v>599</v>
      </c>
      <c r="D205" t="s">
        <v>61</v>
      </c>
      <c r="E205" t="s">
        <v>183</v>
      </c>
      <c r="F205" t="s">
        <v>96</v>
      </c>
      <c r="G205" t="s">
        <v>6</v>
      </c>
      <c r="H205">
        <v>1.6</v>
      </c>
      <c r="I205">
        <v>5</v>
      </c>
      <c r="J205">
        <v>55</v>
      </c>
      <c r="K205" t="s">
        <v>33</v>
      </c>
      <c r="L205" t="s">
        <v>49</v>
      </c>
      <c r="M205" t="s">
        <v>44</v>
      </c>
      <c r="N205">
        <v>4.7</v>
      </c>
      <c r="O205">
        <v>5</v>
      </c>
    </row>
    <row r="206" spans="1:15" x14ac:dyDescent="0.3">
      <c r="A206" t="s">
        <v>600</v>
      </c>
      <c r="B206" t="s">
        <v>476</v>
      </c>
      <c r="C206" t="s">
        <v>601</v>
      </c>
      <c r="D206" t="s">
        <v>53</v>
      </c>
      <c r="E206" t="s">
        <v>86</v>
      </c>
      <c r="F206" t="s">
        <v>220</v>
      </c>
      <c r="G206" t="s">
        <v>6</v>
      </c>
      <c r="H206">
        <v>11</v>
      </c>
      <c r="I206">
        <v>32</v>
      </c>
      <c r="J206">
        <v>242</v>
      </c>
      <c r="K206" t="s">
        <v>33</v>
      </c>
      <c r="L206" t="s">
        <v>34</v>
      </c>
      <c r="M206" t="s">
        <v>35</v>
      </c>
      <c r="N206">
        <v>4.5999999999999996</v>
      </c>
      <c r="O206">
        <v>4.8</v>
      </c>
    </row>
    <row r="207" spans="1:15" x14ac:dyDescent="0.3">
      <c r="A207" t="s">
        <v>602</v>
      </c>
      <c r="B207" t="s">
        <v>66</v>
      </c>
      <c r="C207" t="s">
        <v>289</v>
      </c>
      <c r="D207" t="s">
        <v>61</v>
      </c>
      <c r="E207" t="s">
        <v>95</v>
      </c>
      <c r="F207" t="s">
        <v>96</v>
      </c>
      <c r="G207" t="s">
        <v>4</v>
      </c>
      <c r="H207">
        <v>1</v>
      </c>
      <c r="I207">
        <v>6</v>
      </c>
      <c r="J207">
        <v>125</v>
      </c>
      <c r="K207" t="s">
        <v>42</v>
      </c>
      <c r="L207" t="s">
        <v>43</v>
      </c>
      <c r="M207" t="s">
        <v>44</v>
      </c>
      <c r="N207">
        <v>4.7</v>
      </c>
      <c r="O207">
        <v>4.8</v>
      </c>
    </row>
    <row r="208" spans="1:15" x14ac:dyDescent="0.3">
      <c r="A208" t="s">
        <v>603</v>
      </c>
      <c r="B208" t="s">
        <v>604</v>
      </c>
      <c r="C208" t="s">
        <v>420</v>
      </c>
      <c r="D208" t="s">
        <v>53</v>
      </c>
      <c r="E208" t="s">
        <v>236</v>
      </c>
      <c r="F208" t="s">
        <v>86</v>
      </c>
      <c r="G208" t="s">
        <v>6</v>
      </c>
      <c r="H208">
        <v>7.8</v>
      </c>
      <c r="I208">
        <v>22</v>
      </c>
      <c r="J208">
        <v>177</v>
      </c>
      <c r="K208" t="s">
        <v>192</v>
      </c>
      <c r="L208" t="s">
        <v>43</v>
      </c>
      <c r="M208" t="s">
        <v>44</v>
      </c>
      <c r="N208">
        <v>4.5</v>
      </c>
      <c r="O208">
        <v>4.8</v>
      </c>
    </row>
    <row r="209" spans="1:15" x14ac:dyDescent="0.3">
      <c r="A209" t="s">
        <v>605</v>
      </c>
      <c r="B209" t="s">
        <v>407</v>
      </c>
      <c r="C209" t="s">
        <v>606</v>
      </c>
      <c r="D209" t="s">
        <v>68</v>
      </c>
      <c r="E209" t="s">
        <v>69</v>
      </c>
      <c r="F209" t="s">
        <v>172</v>
      </c>
      <c r="G209" t="s">
        <v>5</v>
      </c>
      <c r="H209">
        <v>9.5</v>
      </c>
      <c r="I209">
        <v>23</v>
      </c>
      <c r="J209">
        <v>289</v>
      </c>
      <c r="K209" t="s">
        <v>102</v>
      </c>
      <c r="L209" t="s">
        <v>71</v>
      </c>
      <c r="M209" t="s">
        <v>44</v>
      </c>
      <c r="N209">
        <v>4.5999999999999996</v>
      </c>
      <c r="O209">
        <v>5</v>
      </c>
    </row>
    <row r="210" spans="1:15" x14ac:dyDescent="0.3">
      <c r="A210" t="s">
        <v>607</v>
      </c>
      <c r="B210" t="s">
        <v>232</v>
      </c>
      <c r="C210" t="s">
        <v>371</v>
      </c>
      <c r="D210" t="s">
        <v>39</v>
      </c>
      <c r="E210" t="s">
        <v>48</v>
      </c>
      <c r="F210" t="s">
        <v>41</v>
      </c>
      <c r="G210" t="s">
        <v>7</v>
      </c>
      <c r="H210">
        <v>9.6</v>
      </c>
      <c r="I210">
        <v>24</v>
      </c>
      <c r="J210">
        <v>389</v>
      </c>
      <c r="K210" t="s">
        <v>56</v>
      </c>
      <c r="L210" t="s">
        <v>71</v>
      </c>
      <c r="M210" t="s">
        <v>44</v>
      </c>
      <c r="N210">
        <v>4.5999999999999996</v>
      </c>
      <c r="O210">
        <v>4.4000000000000004</v>
      </c>
    </row>
    <row r="211" spans="1:15" x14ac:dyDescent="0.3">
      <c r="A211" t="s">
        <v>608</v>
      </c>
      <c r="B211" t="s">
        <v>208</v>
      </c>
      <c r="C211" t="s">
        <v>609</v>
      </c>
      <c r="D211" t="s">
        <v>158</v>
      </c>
      <c r="E211" t="s">
        <v>159</v>
      </c>
      <c r="F211" t="s">
        <v>283</v>
      </c>
      <c r="G211" t="s">
        <v>2</v>
      </c>
      <c r="H211">
        <v>1.5</v>
      </c>
      <c r="I211">
        <v>5</v>
      </c>
      <c r="J211">
        <v>74</v>
      </c>
      <c r="K211" t="s">
        <v>42</v>
      </c>
      <c r="L211" t="s">
        <v>64</v>
      </c>
      <c r="M211" t="s">
        <v>44</v>
      </c>
      <c r="N211">
        <v>4.7</v>
      </c>
      <c r="O211">
        <v>4.8</v>
      </c>
    </row>
    <row r="212" spans="1:15" x14ac:dyDescent="0.3">
      <c r="A212" t="s">
        <v>610</v>
      </c>
      <c r="B212" t="s">
        <v>481</v>
      </c>
      <c r="C212" t="s">
        <v>611</v>
      </c>
      <c r="D212" t="s">
        <v>53</v>
      </c>
      <c r="E212" t="s">
        <v>86</v>
      </c>
      <c r="F212" t="s">
        <v>221</v>
      </c>
      <c r="G212" t="s">
        <v>6</v>
      </c>
      <c r="H212">
        <v>5</v>
      </c>
      <c r="I212">
        <v>10</v>
      </c>
      <c r="J212">
        <v>119</v>
      </c>
      <c r="K212" t="s">
        <v>33</v>
      </c>
      <c r="L212" t="s">
        <v>49</v>
      </c>
      <c r="M212" t="s">
        <v>44</v>
      </c>
      <c r="N212">
        <v>4.8</v>
      </c>
      <c r="O212">
        <v>4.9000000000000004</v>
      </c>
    </row>
    <row r="213" spans="1:15" x14ac:dyDescent="0.3">
      <c r="A213" t="s">
        <v>612</v>
      </c>
      <c r="B213" t="s">
        <v>197</v>
      </c>
      <c r="C213" t="s">
        <v>613</v>
      </c>
      <c r="D213" t="s">
        <v>68</v>
      </c>
      <c r="E213" t="s">
        <v>195</v>
      </c>
      <c r="F213" t="s">
        <v>130</v>
      </c>
      <c r="G213" t="s">
        <v>5</v>
      </c>
      <c r="H213">
        <v>6.8</v>
      </c>
      <c r="I213">
        <v>18</v>
      </c>
      <c r="J213">
        <v>242</v>
      </c>
      <c r="K213" t="s">
        <v>42</v>
      </c>
      <c r="L213" t="s">
        <v>64</v>
      </c>
      <c r="M213" t="s">
        <v>44</v>
      </c>
      <c r="N213">
        <v>4.5</v>
      </c>
      <c r="O213">
        <v>4.9000000000000004</v>
      </c>
    </row>
    <row r="214" spans="1:15" x14ac:dyDescent="0.3">
      <c r="A214" t="s">
        <v>614</v>
      </c>
      <c r="B214" t="s">
        <v>303</v>
      </c>
      <c r="C214" t="s">
        <v>615</v>
      </c>
      <c r="D214" t="s">
        <v>39</v>
      </c>
      <c r="E214" t="s">
        <v>40</v>
      </c>
      <c r="F214" t="s">
        <v>154</v>
      </c>
      <c r="G214" t="s">
        <v>4</v>
      </c>
      <c r="H214">
        <v>6.6</v>
      </c>
      <c r="I214">
        <v>16</v>
      </c>
      <c r="J214">
        <v>246</v>
      </c>
      <c r="K214" t="s">
        <v>33</v>
      </c>
      <c r="L214" t="s">
        <v>49</v>
      </c>
      <c r="M214" t="s">
        <v>44</v>
      </c>
      <c r="N214">
        <v>4.7</v>
      </c>
      <c r="O214">
        <v>5</v>
      </c>
    </row>
    <row r="215" spans="1:15" x14ac:dyDescent="0.3">
      <c r="A215" t="s">
        <v>616</v>
      </c>
      <c r="B215" t="s">
        <v>397</v>
      </c>
      <c r="C215" t="s">
        <v>617</v>
      </c>
      <c r="D215" t="s">
        <v>61</v>
      </c>
      <c r="E215" t="s">
        <v>191</v>
      </c>
      <c r="F215" t="s">
        <v>96</v>
      </c>
      <c r="G215" t="s">
        <v>5</v>
      </c>
      <c r="H215">
        <v>10</v>
      </c>
      <c r="I215">
        <v>20</v>
      </c>
      <c r="J215">
        <v>331</v>
      </c>
      <c r="K215" t="s">
        <v>102</v>
      </c>
      <c r="L215" t="s">
        <v>43</v>
      </c>
      <c r="M215" t="s">
        <v>44</v>
      </c>
      <c r="N215">
        <v>4.8</v>
      </c>
      <c r="O215">
        <v>4.7</v>
      </c>
    </row>
    <row r="216" spans="1:15" x14ac:dyDescent="0.3">
      <c r="A216" t="s">
        <v>618</v>
      </c>
      <c r="B216" t="s">
        <v>273</v>
      </c>
      <c r="C216" t="s">
        <v>619</v>
      </c>
      <c r="D216" t="s">
        <v>106</v>
      </c>
      <c r="E216" t="s">
        <v>168</v>
      </c>
      <c r="F216" t="s">
        <v>443</v>
      </c>
      <c r="G216" t="s">
        <v>6</v>
      </c>
      <c r="H216">
        <v>6.2</v>
      </c>
      <c r="I216">
        <v>11</v>
      </c>
      <c r="J216">
        <v>166</v>
      </c>
      <c r="K216" t="s">
        <v>192</v>
      </c>
      <c r="L216" t="s">
        <v>64</v>
      </c>
      <c r="M216" t="s">
        <v>44</v>
      </c>
      <c r="N216">
        <v>4.8</v>
      </c>
      <c r="O216">
        <v>4.8</v>
      </c>
    </row>
    <row r="217" spans="1:15" x14ac:dyDescent="0.3">
      <c r="A217" t="s">
        <v>620</v>
      </c>
      <c r="B217" t="s">
        <v>552</v>
      </c>
      <c r="C217" t="s">
        <v>621</v>
      </c>
      <c r="D217" t="s">
        <v>81</v>
      </c>
      <c r="E217" t="s">
        <v>351</v>
      </c>
      <c r="F217" t="s">
        <v>134</v>
      </c>
      <c r="G217" t="s">
        <v>4</v>
      </c>
      <c r="H217">
        <v>8.6999999999999993</v>
      </c>
      <c r="I217">
        <v>15</v>
      </c>
      <c r="J217">
        <v>321</v>
      </c>
      <c r="K217" t="s">
        <v>192</v>
      </c>
      <c r="L217" t="s">
        <v>43</v>
      </c>
      <c r="M217" t="s">
        <v>44</v>
      </c>
      <c r="N217">
        <v>4.5</v>
      </c>
      <c r="O217">
        <v>4.7</v>
      </c>
    </row>
    <row r="218" spans="1:15" x14ac:dyDescent="0.3">
      <c r="A218" t="s">
        <v>622</v>
      </c>
      <c r="B218" t="s">
        <v>286</v>
      </c>
      <c r="C218" t="s">
        <v>623</v>
      </c>
      <c r="D218" t="s">
        <v>81</v>
      </c>
      <c r="E218" t="s">
        <v>268</v>
      </c>
      <c r="F218" t="s">
        <v>201</v>
      </c>
      <c r="G218" t="s">
        <v>7</v>
      </c>
      <c r="H218">
        <v>10.4</v>
      </c>
      <c r="I218">
        <v>21</v>
      </c>
      <c r="J218">
        <v>312</v>
      </c>
      <c r="K218" t="s">
        <v>102</v>
      </c>
      <c r="L218" t="s">
        <v>49</v>
      </c>
      <c r="M218" t="s">
        <v>44</v>
      </c>
      <c r="N218">
        <v>5</v>
      </c>
      <c r="O218">
        <v>4.7</v>
      </c>
    </row>
    <row r="219" spans="1:15" x14ac:dyDescent="0.3">
      <c r="A219" t="s">
        <v>624</v>
      </c>
      <c r="B219" t="s">
        <v>118</v>
      </c>
      <c r="C219" t="s">
        <v>625</v>
      </c>
      <c r="D219" t="s">
        <v>53</v>
      </c>
      <c r="E219" t="s">
        <v>405</v>
      </c>
      <c r="F219" t="s">
        <v>220</v>
      </c>
      <c r="G219" t="s">
        <v>7</v>
      </c>
      <c r="H219">
        <v>4.2</v>
      </c>
      <c r="I219">
        <v>9</v>
      </c>
      <c r="J219">
        <v>152</v>
      </c>
      <c r="K219" t="s">
        <v>33</v>
      </c>
      <c r="L219" t="s">
        <v>64</v>
      </c>
      <c r="M219" t="s">
        <v>44</v>
      </c>
      <c r="N219">
        <v>4.7</v>
      </c>
      <c r="O219">
        <v>4.9000000000000004</v>
      </c>
    </row>
    <row r="220" spans="1:15" x14ac:dyDescent="0.3">
      <c r="A220" t="s">
        <v>626</v>
      </c>
      <c r="B220" t="s">
        <v>110</v>
      </c>
      <c r="C220" t="s">
        <v>194</v>
      </c>
      <c r="D220" t="s">
        <v>158</v>
      </c>
      <c r="E220" t="s">
        <v>159</v>
      </c>
      <c r="F220" t="s">
        <v>160</v>
      </c>
      <c r="G220" t="s">
        <v>7</v>
      </c>
      <c r="H220">
        <v>8.6999999999999993</v>
      </c>
      <c r="I220">
        <v>14</v>
      </c>
      <c r="J220">
        <v>334</v>
      </c>
      <c r="K220" t="s">
        <v>33</v>
      </c>
      <c r="L220" t="s">
        <v>71</v>
      </c>
      <c r="M220" t="s">
        <v>44</v>
      </c>
      <c r="N220">
        <v>4.9000000000000004</v>
      </c>
      <c r="O220">
        <v>4.3</v>
      </c>
    </row>
    <row r="221" spans="1:15" x14ac:dyDescent="0.3">
      <c r="A221" t="s">
        <v>627</v>
      </c>
      <c r="B221" t="s">
        <v>110</v>
      </c>
      <c r="C221" t="s">
        <v>203</v>
      </c>
      <c r="D221" t="s">
        <v>68</v>
      </c>
      <c r="E221" t="s">
        <v>130</v>
      </c>
      <c r="F221" t="s">
        <v>150</v>
      </c>
      <c r="G221" t="s">
        <v>6</v>
      </c>
      <c r="H221">
        <v>2.7</v>
      </c>
      <c r="I221">
        <v>5</v>
      </c>
      <c r="J221">
        <v>143</v>
      </c>
      <c r="K221" t="s">
        <v>33</v>
      </c>
      <c r="L221" t="s">
        <v>64</v>
      </c>
      <c r="M221" t="s">
        <v>44</v>
      </c>
      <c r="N221">
        <v>4.4000000000000004</v>
      </c>
      <c r="O221">
        <v>4.9000000000000004</v>
      </c>
    </row>
    <row r="222" spans="1:15" x14ac:dyDescent="0.3">
      <c r="A222" t="s">
        <v>628</v>
      </c>
      <c r="B222" t="s">
        <v>629</v>
      </c>
      <c r="C222" t="s">
        <v>630</v>
      </c>
      <c r="D222" t="s">
        <v>30</v>
      </c>
      <c r="E222" t="s">
        <v>138</v>
      </c>
      <c r="F222" t="s">
        <v>112</v>
      </c>
      <c r="G222" t="s">
        <v>4</v>
      </c>
      <c r="H222">
        <v>9</v>
      </c>
      <c r="I222">
        <v>37</v>
      </c>
      <c r="J222">
        <v>383</v>
      </c>
      <c r="K222" t="s">
        <v>102</v>
      </c>
      <c r="L222" t="s">
        <v>43</v>
      </c>
      <c r="M222" t="s">
        <v>44</v>
      </c>
      <c r="N222">
        <v>5</v>
      </c>
      <c r="O222">
        <v>4.5</v>
      </c>
    </row>
    <row r="223" spans="1:15" x14ac:dyDescent="0.3">
      <c r="A223" t="s">
        <v>631</v>
      </c>
      <c r="B223" t="s">
        <v>122</v>
      </c>
      <c r="C223" t="s">
        <v>366</v>
      </c>
      <c r="D223" t="s">
        <v>61</v>
      </c>
      <c r="E223" t="s">
        <v>116</v>
      </c>
      <c r="F223" t="s">
        <v>328</v>
      </c>
      <c r="G223" t="s">
        <v>4</v>
      </c>
      <c r="H223">
        <v>9.1</v>
      </c>
      <c r="I223">
        <v>17</v>
      </c>
      <c r="J223">
        <v>267</v>
      </c>
      <c r="K223" t="s">
        <v>42</v>
      </c>
      <c r="L223" t="s">
        <v>49</v>
      </c>
      <c r="M223" t="s">
        <v>44</v>
      </c>
      <c r="N223">
        <v>4.3</v>
      </c>
      <c r="O223">
        <v>5</v>
      </c>
    </row>
    <row r="224" spans="1:15" x14ac:dyDescent="0.3">
      <c r="A224" t="s">
        <v>632</v>
      </c>
      <c r="B224" t="s">
        <v>104</v>
      </c>
      <c r="C224" t="s">
        <v>633</v>
      </c>
      <c r="D224" t="s">
        <v>61</v>
      </c>
      <c r="E224" t="s">
        <v>96</v>
      </c>
      <c r="F224" t="s">
        <v>328</v>
      </c>
      <c r="G224" t="s">
        <v>6</v>
      </c>
      <c r="H224">
        <v>2.8</v>
      </c>
      <c r="I224">
        <v>10</v>
      </c>
      <c r="J224">
        <v>116</v>
      </c>
      <c r="K224" t="s">
        <v>42</v>
      </c>
      <c r="L224" t="s">
        <v>49</v>
      </c>
      <c r="M224" t="s">
        <v>44</v>
      </c>
      <c r="N224">
        <v>4.9000000000000004</v>
      </c>
      <c r="O224">
        <v>4.8</v>
      </c>
    </row>
    <row r="225" spans="1:15" x14ac:dyDescent="0.3">
      <c r="A225" t="s">
        <v>634</v>
      </c>
      <c r="B225" t="s">
        <v>51</v>
      </c>
      <c r="C225" t="s">
        <v>635</v>
      </c>
      <c r="D225" t="s">
        <v>158</v>
      </c>
      <c r="E225" t="s">
        <v>316</v>
      </c>
      <c r="F225" t="s">
        <v>319</v>
      </c>
      <c r="G225" t="s">
        <v>6</v>
      </c>
      <c r="H225">
        <v>4.3</v>
      </c>
      <c r="I225">
        <v>16</v>
      </c>
      <c r="J225">
        <v>187</v>
      </c>
      <c r="K225" t="s">
        <v>192</v>
      </c>
      <c r="L225" t="s">
        <v>71</v>
      </c>
      <c r="M225" t="s">
        <v>44</v>
      </c>
      <c r="N225">
        <v>4.9000000000000004</v>
      </c>
      <c r="O225">
        <v>4.9000000000000004</v>
      </c>
    </row>
    <row r="226" spans="1:15" x14ac:dyDescent="0.3">
      <c r="A226" t="s">
        <v>636</v>
      </c>
      <c r="B226" t="s">
        <v>254</v>
      </c>
      <c r="C226" t="s">
        <v>637</v>
      </c>
      <c r="D226" t="s">
        <v>53</v>
      </c>
      <c r="E226" t="s">
        <v>236</v>
      </c>
      <c r="F226" t="s">
        <v>220</v>
      </c>
      <c r="G226" t="s">
        <v>2</v>
      </c>
      <c r="H226">
        <v>12.2</v>
      </c>
      <c r="I226">
        <v>26</v>
      </c>
      <c r="J226">
        <v>195</v>
      </c>
      <c r="K226" t="s">
        <v>33</v>
      </c>
      <c r="L226" t="s">
        <v>43</v>
      </c>
      <c r="M226" t="s">
        <v>44</v>
      </c>
      <c r="N226">
        <v>4.7</v>
      </c>
      <c r="O226">
        <v>4.9000000000000004</v>
      </c>
    </row>
    <row r="227" spans="1:15" x14ac:dyDescent="0.3">
      <c r="A227" t="s">
        <v>638</v>
      </c>
      <c r="B227" t="s">
        <v>114</v>
      </c>
      <c r="C227" t="s">
        <v>639</v>
      </c>
      <c r="D227" t="s">
        <v>158</v>
      </c>
      <c r="E227" t="s">
        <v>334</v>
      </c>
      <c r="F227" t="s">
        <v>262</v>
      </c>
      <c r="G227" t="s">
        <v>6</v>
      </c>
      <c r="H227">
        <v>19.7</v>
      </c>
      <c r="I227">
        <v>57</v>
      </c>
      <c r="J227">
        <v>503</v>
      </c>
      <c r="K227" t="s">
        <v>33</v>
      </c>
      <c r="L227" t="s">
        <v>71</v>
      </c>
      <c r="M227" t="s">
        <v>44</v>
      </c>
      <c r="N227">
        <v>5</v>
      </c>
      <c r="O227">
        <v>4.7</v>
      </c>
    </row>
    <row r="228" spans="1:15" x14ac:dyDescent="0.3">
      <c r="A228" t="s">
        <v>640</v>
      </c>
      <c r="B228" t="s">
        <v>453</v>
      </c>
      <c r="C228" t="s">
        <v>641</v>
      </c>
      <c r="D228" t="s">
        <v>75</v>
      </c>
      <c r="E228" t="s">
        <v>578</v>
      </c>
      <c r="F228" t="s">
        <v>239</v>
      </c>
      <c r="G228" t="s">
        <v>4</v>
      </c>
      <c r="H228">
        <v>3.2</v>
      </c>
      <c r="I228">
        <v>15</v>
      </c>
      <c r="J228">
        <v>178</v>
      </c>
      <c r="K228" t="s">
        <v>33</v>
      </c>
      <c r="L228" t="s">
        <v>78</v>
      </c>
      <c r="M228" t="s">
        <v>44</v>
      </c>
      <c r="N228">
        <v>4.7</v>
      </c>
      <c r="O228">
        <v>4.7</v>
      </c>
    </row>
    <row r="229" spans="1:15" x14ac:dyDescent="0.3">
      <c r="A229" t="s">
        <v>642</v>
      </c>
      <c r="B229" t="s">
        <v>200</v>
      </c>
      <c r="C229" t="s">
        <v>643</v>
      </c>
      <c r="D229" t="s">
        <v>30</v>
      </c>
      <c r="E229" t="s">
        <v>32</v>
      </c>
      <c r="F229" t="s">
        <v>112</v>
      </c>
      <c r="G229" t="s">
        <v>7</v>
      </c>
      <c r="H229">
        <v>14.3</v>
      </c>
      <c r="I229">
        <v>51</v>
      </c>
      <c r="J229">
        <v>488</v>
      </c>
      <c r="K229" t="s">
        <v>33</v>
      </c>
      <c r="L229" t="s">
        <v>43</v>
      </c>
      <c r="M229" t="s">
        <v>44</v>
      </c>
      <c r="N229">
        <v>4.3</v>
      </c>
      <c r="O229">
        <v>4.5999999999999996</v>
      </c>
    </row>
    <row r="230" spans="1:15" x14ac:dyDescent="0.3">
      <c r="A230" t="s">
        <v>644</v>
      </c>
      <c r="B230" t="s">
        <v>181</v>
      </c>
      <c r="C230" t="s">
        <v>645</v>
      </c>
      <c r="D230" t="s">
        <v>30</v>
      </c>
      <c r="E230" t="s">
        <v>100</v>
      </c>
      <c r="F230" t="s">
        <v>32</v>
      </c>
      <c r="G230" t="s">
        <v>7</v>
      </c>
      <c r="H230">
        <v>14.4</v>
      </c>
      <c r="I230">
        <v>42</v>
      </c>
      <c r="J230">
        <v>389</v>
      </c>
      <c r="K230" t="s">
        <v>33</v>
      </c>
      <c r="L230" t="s">
        <v>34</v>
      </c>
      <c r="M230" t="s">
        <v>35</v>
      </c>
      <c r="N230">
        <v>4.5999999999999996</v>
      </c>
      <c r="O230">
        <v>4.7</v>
      </c>
    </row>
    <row r="231" spans="1:15" x14ac:dyDescent="0.3">
      <c r="A231" t="s">
        <v>646</v>
      </c>
      <c r="B231" t="s">
        <v>647</v>
      </c>
      <c r="C231" t="s">
        <v>648</v>
      </c>
      <c r="D231" t="s">
        <v>53</v>
      </c>
      <c r="E231" t="s">
        <v>86</v>
      </c>
      <c r="F231" t="s">
        <v>515</v>
      </c>
      <c r="G231" t="s">
        <v>2</v>
      </c>
      <c r="H231">
        <v>1.2</v>
      </c>
      <c r="I231">
        <v>6</v>
      </c>
      <c r="J231">
        <v>61</v>
      </c>
      <c r="K231" t="s">
        <v>33</v>
      </c>
      <c r="L231" t="s">
        <v>34</v>
      </c>
      <c r="M231" t="s">
        <v>35</v>
      </c>
      <c r="N231">
        <v>5</v>
      </c>
      <c r="O231">
        <v>4.4000000000000004</v>
      </c>
    </row>
    <row r="232" spans="1:15" x14ac:dyDescent="0.3">
      <c r="A232" t="s">
        <v>649</v>
      </c>
      <c r="B232" t="s">
        <v>197</v>
      </c>
      <c r="C232" t="s">
        <v>650</v>
      </c>
      <c r="D232" t="s">
        <v>39</v>
      </c>
      <c r="E232" t="s">
        <v>484</v>
      </c>
      <c r="F232" t="s">
        <v>154</v>
      </c>
      <c r="G232" t="s">
        <v>6</v>
      </c>
      <c r="H232">
        <v>3</v>
      </c>
      <c r="I232">
        <v>12</v>
      </c>
      <c r="J232">
        <v>131</v>
      </c>
      <c r="K232" t="s">
        <v>33</v>
      </c>
      <c r="L232" t="s">
        <v>64</v>
      </c>
      <c r="M232" t="s">
        <v>44</v>
      </c>
      <c r="N232">
        <v>4.7</v>
      </c>
      <c r="O232">
        <v>4.8</v>
      </c>
    </row>
    <row r="233" spans="1:15" x14ac:dyDescent="0.3">
      <c r="A233" t="s">
        <v>651</v>
      </c>
      <c r="B233" t="s">
        <v>306</v>
      </c>
      <c r="C233" t="s">
        <v>652</v>
      </c>
      <c r="D233" t="s">
        <v>81</v>
      </c>
      <c r="E233" t="s">
        <v>268</v>
      </c>
      <c r="F233" t="s">
        <v>134</v>
      </c>
      <c r="G233" t="s">
        <v>7</v>
      </c>
      <c r="H233">
        <v>14</v>
      </c>
      <c r="I233">
        <v>41</v>
      </c>
      <c r="J233">
        <v>358</v>
      </c>
      <c r="K233" t="s">
        <v>33</v>
      </c>
      <c r="L233" t="s">
        <v>78</v>
      </c>
      <c r="M233" t="s">
        <v>44</v>
      </c>
      <c r="N233">
        <v>4.8</v>
      </c>
      <c r="O233">
        <v>4.9000000000000004</v>
      </c>
    </row>
    <row r="234" spans="1:15" x14ac:dyDescent="0.3">
      <c r="A234" t="s">
        <v>653</v>
      </c>
      <c r="B234" t="s">
        <v>181</v>
      </c>
      <c r="C234" t="s">
        <v>654</v>
      </c>
      <c r="D234" t="s">
        <v>81</v>
      </c>
      <c r="E234" t="s">
        <v>90</v>
      </c>
      <c r="F234" t="s">
        <v>201</v>
      </c>
      <c r="G234" t="s">
        <v>4</v>
      </c>
      <c r="H234">
        <v>8.3000000000000007</v>
      </c>
      <c r="I234">
        <v>20</v>
      </c>
      <c r="J234">
        <v>278</v>
      </c>
      <c r="K234" t="s">
        <v>42</v>
      </c>
      <c r="L234" t="s">
        <v>78</v>
      </c>
      <c r="M234" t="s">
        <v>44</v>
      </c>
      <c r="N234">
        <v>4.7</v>
      </c>
      <c r="O234">
        <v>4.9000000000000004</v>
      </c>
    </row>
    <row r="235" spans="1:15" x14ac:dyDescent="0.3">
      <c r="A235" t="s">
        <v>655</v>
      </c>
      <c r="B235" t="s">
        <v>189</v>
      </c>
      <c r="C235" t="s">
        <v>656</v>
      </c>
      <c r="D235" t="s">
        <v>39</v>
      </c>
      <c r="E235" t="s">
        <v>484</v>
      </c>
      <c r="F235" t="s">
        <v>154</v>
      </c>
      <c r="G235" t="s">
        <v>5</v>
      </c>
      <c r="H235">
        <v>3.2</v>
      </c>
      <c r="I235">
        <v>9</v>
      </c>
      <c r="J235">
        <v>121</v>
      </c>
      <c r="K235" t="s">
        <v>102</v>
      </c>
      <c r="L235" t="s">
        <v>78</v>
      </c>
      <c r="M235" t="s">
        <v>44</v>
      </c>
      <c r="N235">
        <v>4.3</v>
      </c>
      <c r="O235">
        <v>5</v>
      </c>
    </row>
    <row r="236" spans="1:15" x14ac:dyDescent="0.3">
      <c r="A236" t="s">
        <v>657</v>
      </c>
      <c r="B236" t="s">
        <v>270</v>
      </c>
      <c r="C236" t="s">
        <v>658</v>
      </c>
      <c r="D236" t="s">
        <v>39</v>
      </c>
      <c r="E236" t="s">
        <v>484</v>
      </c>
      <c r="F236" t="s">
        <v>154</v>
      </c>
      <c r="G236" t="s">
        <v>2</v>
      </c>
      <c r="H236">
        <v>10.4</v>
      </c>
      <c r="I236">
        <v>24</v>
      </c>
      <c r="J236">
        <v>143</v>
      </c>
      <c r="K236" t="s">
        <v>102</v>
      </c>
      <c r="L236" t="s">
        <v>78</v>
      </c>
      <c r="M236" t="s">
        <v>44</v>
      </c>
      <c r="N236">
        <v>5</v>
      </c>
      <c r="O236">
        <v>4.7</v>
      </c>
    </row>
    <row r="237" spans="1:15" x14ac:dyDescent="0.3">
      <c r="A237" t="s">
        <v>659</v>
      </c>
      <c r="B237" t="s">
        <v>400</v>
      </c>
      <c r="C237" t="s">
        <v>660</v>
      </c>
      <c r="D237" t="s">
        <v>106</v>
      </c>
      <c r="E237" t="s">
        <v>472</v>
      </c>
      <c r="F237" t="s">
        <v>187</v>
      </c>
      <c r="G237" t="s">
        <v>5</v>
      </c>
      <c r="H237">
        <v>8.6999999999999993</v>
      </c>
      <c r="I237">
        <v>19</v>
      </c>
      <c r="J237">
        <v>236</v>
      </c>
      <c r="K237" t="s">
        <v>102</v>
      </c>
      <c r="L237" t="s">
        <v>64</v>
      </c>
      <c r="M237" t="s">
        <v>44</v>
      </c>
      <c r="N237">
        <v>4.4000000000000004</v>
      </c>
      <c r="O237">
        <v>5</v>
      </c>
    </row>
    <row r="238" spans="1:15" x14ac:dyDescent="0.3">
      <c r="A238" t="s">
        <v>661</v>
      </c>
      <c r="B238" t="s">
        <v>476</v>
      </c>
      <c r="C238" t="s">
        <v>563</v>
      </c>
      <c r="D238" t="s">
        <v>61</v>
      </c>
      <c r="E238" t="s">
        <v>116</v>
      </c>
      <c r="F238" t="s">
        <v>62</v>
      </c>
      <c r="G238" t="s">
        <v>5</v>
      </c>
      <c r="H238">
        <v>11.8</v>
      </c>
      <c r="I238">
        <v>24</v>
      </c>
      <c r="J238">
        <v>300</v>
      </c>
      <c r="K238" t="s">
        <v>102</v>
      </c>
      <c r="L238" t="s">
        <v>43</v>
      </c>
      <c r="M238" t="s">
        <v>44</v>
      </c>
      <c r="N238">
        <v>5</v>
      </c>
      <c r="O238">
        <v>4.9000000000000004</v>
      </c>
    </row>
    <row r="239" spans="1:15" x14ac:dyDescent="0.3">
      <c r="A239" t="s">
        <v>662</v>
      </c>
      <c r="B239" t="s">
        <v>330</v>
      </c>
      <c r="C239" t="s">
        <v>466</v>
      </c>
      <c r="D239" t="s">
        <v>106</v>
      </c>
      <c r="E239" t="s">
        <v>443</v>
      </c>
      <c r="F239" t="s">
        <v>108</v>
      </c>
      <c r="G239" t="s">
        <v>4</v>
      </c>
      <c r="H239">
        <v>1.5</v>
      </c>
      <c r="I239">
        <v>5</v>
      </c>
      <c r="J239">
        <v>122</v>
      </c>
      <c r="K239" t="s">
        <v>33</v>
      </c>
      <c r="L239" t="s">
        <v>43</v>
      </c>
      <c r="M239" t="s">
        <v>44</v>
      </c>
      <c r="N239">
        <v>4.9000000000000004</v>
      </c>
      <c r="O239">
        <v>4.7</v>
      </c>
    </row>
    <row r="240" spans="1:15" x14ac:dyDescent="0.3">
      <c r="A240" t="s">
        <v>663</v>
      </c>
      <c r="B240" t="s">
        <v>249</v>
      </c>
      <c r="C240" t="s">
        <v>664</v>
      </c>
      <c r="D240" t="s">
        <v>81</v>
      </c>
      <c r="E240" t="s">
        <v>134</v>
      </c>
      <c r="F240" t="s">
        <v>351</v>
      </c>
      <c r="G240" t="s">
        <v>6</v>
      </c>
      <c r="H240">
        <v>6.3</v>
      </c>
      <c r="I240">
        <v>18</v>
      </c>
      <c r="J240">
        <v>170</v>
      </c>
      <c r="K240" t="s">
        <v>33</v>
      </c>
      <c r="L240" t="s">
        <v>57</v>
      </c>
      <c r="M240" t="s">
        <v>35</v>
      </c>
      <c r="N240">
        <v>4.5</v>
      </c>
      <c r="O240">
        <v>4.7</v>
      </c>
    </row>
    <row r="241" spans="1:15" x14ac:dyDescent="0.3">
      <c r="A241" t="s">
        <v>665</v>
      </c>
      <c r="B241" t="s">
        <v>441</v>
      </c>
      <c r="C241" t="s">
        <v>666</v>
      </c>
      <c r="D241" t="s">
        <v>61</v>
      </c>
      <c r="E241" t="s">
        <v>183</v>
      </c>
      <c r="F241" t="s">
        <v>96</v>
      </c>
      <c r="G241" t="s">
        <v>7</v>
      </c>
      <c r="H241">
        <v>7.2</v>
      </c>
      <c r="I241">
        <v>21</v>
      </c>
      <c r="J241">
        <v>250</v>
      </c>
      <c r="K241" t="s">
        <v>33</v>
      </c>
      <c r="L241" t="s">
        <v>64</v>
      </c>
      <c r="M241" t="s">
        <v>44</v>
      </c>
      <c r="N241">
        <v>4.5</v>
      </c>
      <c r="O241">
        <v>5</v>
      </c>
    </row>
    <row r="242" spans="1:15" x14ac:dyDescent="0.3">
      <c r="A242" t="s">
        <v>667</v>
      </c>
      <c r="B242" t="s">
        <v>349</v>
      </c>
      <c r="C242" t="s">
        <v>668</v>
      </c>
      <c r="D242" t="s">
        <v>30</v>
      </c>
      <c r="E242" t="s">
        <v>112</v>
      </c>
      <c r="F242" t="s">
        <v>179</v>
      </c>
      <c r="G242" t="s">
        <v>4</v>
      </c>
      <c r="H242">
        <v>14.5</v>
      </c>
      <c r="I242">
        <v>39</v>
      </c>
      <c r="J242">
        <v>527</v>
      </c>
      <c r="K242" t="s">
        <v>42</v>
      </c>
      <c r="L242" t="s">
        <v>71</v>
      </c>
      <c r="M242" t="s">
        <v>44</v>
      </c>
      <c r="N242">
        <v>4.9000000000000004</v>
      </c>
      <c r="O242">
        <v>4.8</v>
      </c>
    </row>
    <row r="243" spans="1:15" x14ac:dyDescent="0.3">
      <c r="A243" t="s">
        <v>669</v>
      </c>
      <c r="B243" t="s">
        <v>276</v>
      </c>
      <c r="C243" t="s">
        <v>637</v>
      </c>
      <c r="D243" t="s">
        <v>61</v>
      </c>
      <c r="E243" t="s">
        <v>62</v>
      </c>
      <c r="F243" t="s">
        <v>63</v>
      </c>
      <c r="G243" t="s">
        <v>6</v>
      </c>
      <c r="H243">
        <v>1.9</v>
      </c>
      <c r="I243">
        <v>6</v>
      </c>
      <c r="J243">
        <v>99</v>
      </c>
      <c r="K243" t="s">
        <v>33</v>
      </c>
      <c r="L243" t="s">
        <v>43</v>
      </c>
      <c r="M243" t="s">
        <v>44</v>
      </c>
      <c r="N243">
        <v>4.9000000000000004</v>
      </c>
      <c r="O243">
        <v>5</v>
      </c>
    </row>
    <row r="244" spans="1:15" x14ac:dyDescent="0.3">
      <c r="A244" t="s">
        <v>670</v>
      </c>
      <c r="B244" t="s">
        <v>51</v>
      </c>
      <c r="C244" t="s">
        <v>671</v>
      </c>
      <c r="D244" t="s">
        <v>106</v>
      </c>
      <c r="E244" t="s">
        <v>168</v>
      </c>
      <c r="F244" t="s">
        <v>443</v>
      </c>
      <c r="G244" t="s">
        <v>4</v>
      </c>
      <c r="H244">
        <v>2.5</v>
      </c>
      <c r="I244">
        <v>12</v>
      </c>
      <c r="J244">
        <v>183</v>
      </c>
      <c r="K244" t="s">
        <v>33</v>
      </c>
      <c r="L244" t="s">
        <v>64</v>
      </c>
      <c r="M244" t="s">
        <v>44</v>
      </c>
      <c r="N244">
        <v>4.5999999999999996</v>
      </c>
      <c r="O244">
        <v>4.9000000000000004</v>
      </c>
    </row>
    <row r="245" spans="1:15" x14ac:dyDescent="0.3">
      <c r="A245" t="s">
        <v>672</v>
      </c>
      <c r="B245" t="s">
        <v>303</v>
      </c>
      <c r="C245" t="s">
        <v>673</v>
      </c>
      <c r="D245" t="s">
        <v>61</v>
      </c>
      <c r="E245" t="s">
        <v>95</v>
      </c>
      <c r="F245" t="s">
        <v>328</v>
      </c>
      <c r="G245" t="s">
        <v>6</v>
      </c>
      <c r="H245">
        <v>1.8</v>
      </c>
      <c r="I245">
        <v>9</v>
      </c>
      <c r="J245">
        <v>106</v>
      </c>
      <c r="K245" t="s">
        <v>102</v>
      </c>
      <c r="L245" t="s">
        <v>64</v>
      </c>
      <c r="M245" t="s">
        <v>44</v>
      </c>
      <c r="N245">
        <v>5</v>
      </c>
      <c r="O245">
        <v>4.5</v>
      </c>
    </row>
    <row r="246" spans="1:15" x14ac:dyDescent="0.3">
      <c r="A246" t="s">
        <v>674</v>
      </c>
      <c r="B246" t="s">
        <v>73</v>
      </c>
      <c r="C246" t="s">
        <v>675</v>
      </c>
      <c r="D246" t="s">
        <v>158</v>
      </c>
      <c r="E246" t="s">
        <v>319</v>
      </c>
      <c r="F246" t="s">
        <v>316</v>
      </c>
      <c r="G246" t="s">
        <v>2</v>
      </c>
      <c r="H246">
        <v>1</v>
      </c>
      <c r="I246">
        <v>6</v>
      </c>
      <c r="J246">
        <v>61</v>
      </c>
      <c r="K246" t="s">
        <v>33</v>
      </c>
      <c r="L246" t="s">
        <v>78</v>
      </c>
      <c r="M246" t="s">
        <v>44</v>
      </c>
      <c r="N246">
        <v>4.8</v>
      </c>
      <c r="O246">
        <v>4.5999999999999996</v>
      </c>
    </row>
    <row r="247" spans="1:15" x14ac:dyDescent="0.3">
      <c r="A247" t="s">
        <v>676</v>
      </c>
      <c r="B247" t="s">
        <v>330</v>
      </c>
      <c r="C247" t="s">
        <v>677</v>
      </c>
      <c r="D247" t="s">
        <v>30</v>
      </c>
      <c r="E247" t="s">
        <v>101</v>
      </c>
      <c r="F247" t="s">
        <v>138</v>
      </c>
      <c r="G247" t="s">
        <v>4</v>
      </c>
      <c r="H247">
        <v>4.5</v>
      </c>
      <c r="I247">
        <v>13</v>
      </c>
      <c r="J247">
        <v>186</v>
      </c>
      <c r="K247" t="s">
        <v>102</v>
      </c>
      <c r="L247" t="s">
        <v>64</v>
      </c>
      <c r="M247" t="s">
        <v>44</v>
      </c>
      <c r="N247">
        <v>4.7</v>
      </c>
      <c r="O247">
        <v>5</v>
      </c>
    </row>
    <row r="248" spans="1:15" x14ac:dyDescent="0.3">
      <c r="A248" t="s">
        <v>678</v>
      </c>
      <c r="B248" t="s">
        <v>122</v>
      </c>
      <c r="C248" t="s">
        <v>318</v>
      </c>
      <c r="D248" t="s">
        <v>106</v>
      </c>
      <c r="E248" t="s">
        <v>108</v>
      </c>
      <c r="F248" t="s">
        <v>472</v>
      </c>
      <c r="G248" t="s">
        <v>2</v>
      </c>
      <c r="H248">
        <v>1.5</v>
      </c>
      <c r="I248">
        <v>7</v>
      </c>
      <c r="J248">
        <v>78</v>
      </c>
      <c r="K248" t="s">
        <v>42</v>
      </c>
      <c r="L248" t="s">
        <v>43</v>
      </c>
      <c r="M248" t="s">
        <v>44</v>
      </c>
      <c r="N248">
        <v>4.2</v>
      </c>
      <c r="O248">
        <v>4.8</v>
      </c>
    </row>
    <row r="249" spans="1:15" x14ac:dyDescent="0.3">
      <c r="A249" t="s">
        <v>679</v>
      </c>
      <c r="B249" t="s">
        <v>629</v>
      </c>
      <c r="C249" t="s">
        <v>680</v>
      </c>
      <c r="D249" t="s">
        <v>53</v>
      </c>
      <c r="E249" t="s">
        <v>86</v>
      </c>
      <c r="F249" t="s">
        <v>515</v>
      </c>
      <c r="G249" t="s">
        <v>3</v>
      </c>
      <c r="H249">
        <v>6.1</v>
      </c>
      <c r="I249">
        <v>21</v>
      </c>
      <c r="J249">
        <v>447</v>
      </c>
      <c r="K249" t="s">
        <v>192</v>
      </c>
      <c r="L249" t="s">
        <v>64</v>
      </c>
      <c r="M249" t="s">
        <v>44</v>
      </c>
      <c r="N249">
        <v>4.7</v>
      </c>
      <c r="O249">
        <v>5</v>
      </c>
    </row>
    <row r="250" spans="1:15" x14ac:dyDescent="0.3">
      <c r="A250" t="s">
        <v>681</v>
      </c>
      <c r="B250" t="s">
        <v>185</v>
      </c>
      <c r="C250" t="s">
        <v>682</v>
      </c>
      <c r="D250" t="s">
        <v>61</v>
      </c>
      <c r="E250" t="s">
        <v>96</v>
      </c>
      <c r="F250" t="s">
        <v>328</v>
      </c>
      <c r="G250" t="s">
        <v>2</v>
      </c>
      <c r="H250">
        <v>1</v>
      </c>
      <c r="I250">
        <v>5</v>
      </c>
      <c r="J250">
        <v>54</v>
      </c>
      <c r="K250" t="s">
        <v>33</v>
      </c>
      <c r="L250" t="s">
        <v>78</v>
      </c>
      <c r="M250" t="s">
        <v>44</v>
      </c>
      <c r="N250">
        <v>4.4000000000000004</v>
      </c>
      <c r="O250">
        <v>4.5</v>
      </c>
    </row>
    <row r="251" spans="1:15" x14ac:dyDescent="0.3">
      <c r="A251" t="s">
        <v>683</v>
      </c>
      <c r="B251" t="s">
        <v>684</v>
      </c>
      <c r="C251" t="s">
        <v>685</v>
      </c>
      <c r="D251" t="s">
        <v>30</v>
      </c>
      <c r="E251" t="s">
        <v>142</v>
      </c>
      <c r="F251" t="s">
        <v>100</v>
      </c>
      <c r="G251" t="s">
        <v>4</v>
      </c>
      <c r="H251">
        <v>14.8</v>
      </c>
      <c r="I251">
        <v>56</v>
      </c>
      <c r="J251">
        <v>442</v>
      </c>
      <c r="K251" t="s">
        <v>102</v>
      </c>
      <c r="L251" t="s">
        <v>49</v>
      </c>
      <c r="M251" t="s">
        <v>44</v>
      </c>
      <c r="N251">
        <v>4.7</v>
      </c>
      <c r="O251">
        <v>4.9000000000000004</v>
      </c>
    </row>
    <row r="252" spans="1:15" x14ac:dyDescent="0.3">
      <c r="A252" t="s">
        <v>686</v>
      </c>
      <c r="B252" t="s">
        <v>400</v>
      </c>
      <c r="C252" t="s">
        <v>687</v>
      </c>
      <c r="D252" t="s">
        <v>61</v>
      </c>
      <c r="E252" t="s">
        <v>96</v>
      </c>
      <c r="F252" t="s">
        <v>191</v>
      </c>
      <c r="G252" t="s">
        <v>7</v>
      </c>
      <c r="H252">
        <v>10.3</v>
      </c>
      <c r="I252">
        <v>23</v>
      </c>
      <c r="J252">
        <v>359</v>
      </c>
      <c r="K252" t="s">
        <v>42</v>
      </c>
      <c r="L252" t="s">
        <v>71</v>
      </c>
      <c r="M252" t="s">
        <v>44</v>
      </c>
      <c r="N252">
        <v>5</v>
      </c>
      <c r="O252">
        <v>5</v>
      </c>
    </row>
    <row r="253" spans="1:15" x14ac:dyDescent="0.3">
      <c r="A253" t="s">
        <v>688</v>
      </c>
      <c r="B253" t="s">
        <v>689</v>
      </c>
      <c r="C253" t="s">
        <v>680</v>
      </c>
      <c r="D253" t="s">
        <v>39</v>
      </c>
      <c r="E253" t="s">
        <v>356</v>
      </c>
      <c r="F253" t="s">
        <v>484</v>
      </c>
      <c r="G253" t="s">
        <v>5</v>
      </c>
      <c r="H253">
        <v>8.4</v>
      </c>
      <c r="I253">
        <v>25</v>
      </c>
      <c r="J253">
        <v>284</v>
      </c>
      <c r="K253" t="s">
        <v>102</v>
      </c>
      <c r="L253" t="s">
        <v>64</v>
      </c>
      <c r="M253" t="s">
        <v>44</v>
      </c>
      <c r="N253">
        <v>4.9000000000000004</v>
      </c>
      <c r="O253">
        <v>4.5999999999999996</v>
      </c>
    </row>
    <row r="254" spans="1:15" x14ac:dyDescent="0.3">
      <c r="A254" t="s">
        <v>690</v>
      </c>
      <c r="B254" t="s">
        <v>246</v>
      </c>
      <c r="C254" t="s">
        <v>691</v>
      </c>
      <c r="D254" t="s">
        <v>158</v>
      </c>
      <c r="E254" t="s">
        <v>262</v>
      </c>
      <c r="F254" t="s">
        <v>316</v>
      </c>
      <c r="G254" t="s">
        <v>2</v>
      </c>
      <c r="H254">
        <v>5.6</v>
      </c>
      <c r="I254">
        <v>16</v>
      </c>
      <c r="J254">
        <v>125</v>
      </c>
      <c r="K254" t="s">
        <v>33</v>
      </c>
      <c r="L254" t="s">
        <v>43</v>
      </c>
      <c r="M254" t="s">
        <v>44</v>
      </c>
      <c r="N254">
        <v>4.4000000000000004</v>
      </c>
      <c r="O254">
        <v>4.8</v>
      </c>
    </row>
    <row r="255" spans="1:15" x14ac:dyDescent="0.3">
      <c r="A255" t="s">
        <v>692</v>
      </c>
      <c r="B255" t="s">
        <v>104</v>
      </c>
      <c r="C255" t="s">
        <v>693</v>
      </c>
      <c r="D255" t="s">
        <v>158</v>
      </c>
      <c r="E255" t="s">
        <v>334</v>
      </c>
      <c r="F255" t="s">
        <v>160</v>
      </c>
      <c r="G255" t="s">
        <v>3</v>
      </c>
      <c r="H255">
        <v>13.4</v>
      </c>
      <c r="I255">
        <v>35</v>
      </c>
      <c r="J255">
        <v>541</v>
      </c>
      <c r="K255" t="s">
        <v>33</v>
      </c>
      <c r="L255" t="s">
        <v>43</v>
      </c>
      <c r="M255" t="s">
        <v>44</v>
      </c>
      <c r="N255">
        <v>4.8</v>
      </c>
      <c r="O255">
        <v>4.5999999999999996</v>
      </c>
    </row>
    <row r="256" spans="1:15" x14ac:dyDescent="0.3">
      <c r="A256" t="s">
        <v>694</v>
      </c>
      <c r="B256" t="s">
        <v>286</v>
      </c>
      <c r="C256" t="s">
        <v>423</v>
      </c>
      <c r="D256" t="s">
        <v>158</v>
      </c>
      <c r="E256" t="s">
        <v>334</v>
      </c>
      <c r="F256" t="s">
        <v>284</v>
      </c>
      <c r="G256" t="s">
        <v>7</v>
      </c>
      <c r="H256">
        <v>3.1</v>
      </c>
      <c r="I256">
        <v>12</v>
      </c>
      <c r="J256">
        <v>193</v>
      </c>
      <c r="K256" t="s">
        <v>33</v>
      </c>
      <c r="L256" t="s">
        <v>64</v>
      </c>
      <c r="M256" t="s">
        <v>44</v>
      </c>
      <c r="N256">
        <v>4.5</v>
      </c>
      <c r="O256">
        <v>5</v>
      </c>
    </row>
    <row r="257" spans="1:15" x14ac:dyDescent="0.3">
      <c r="A257" t="s">
        <v>695</v>
      </c>
      <c r="B257" t="s">
        <v>468</v>
      </c>
      <c r="C257" t="s">
        <v>691</v>
      </c>
      <c r="D257" t="s">
        <v>61</v>
      </c>
      <c r="E257" t="s">
        <v>183</v>
      </c>
      <c r="F257" t="s">
        <v>96</v>
      </c>
      <c r="G257" t="s">
        <v>2</v>
      </c>
      <c r="H257">
        <v>3.2</v>
      </c>
      <c r="I257">
        <v>13</v>
      </c>
      <c r="J257">
        <v>103</v>
      </c>
      <c r="K257" t="s">
        <v>56</v>
      </c>
      <c r="L257" t="s">
        <v>43</v>
      </c>
      <c r="M257" t="s">
        <v>44</v>
      </c>
      <c r="N257">
        <v>4.5999999999999996</v>
      </c>
      <c r="O257">
        <v>4.7</v>
      </c>
    </row>
    <row r="258" spans="1:15" x14ac:dyDescent="0.3">
      <c r="A258" t="s">
        <v>696</v>
      </c>
      <c r="B258" t="s">
        <v>148</v>
      </c>
      <c r="C258" t="s">
        <v>697</v>
      </c>
      <c r="D258" t="s">
        <v>68</v>
      </c>
      <c r="E258" t="s">
        <v>120</v>
      </c>
      <c r="F258" t="s">
        <v>195</v>
      </c>
      <c r="G258" t="s">
        <v>3</v>
      </c>
      <c r="H258">
        <v>10.7</v>
      </c>
      <c r="I258">
        <v>27</v>
      </c>
      <c r="J258">
        <v>701</v>
      </c>
      <c r="K258" t="s">
        <v>33</v>
      </c>
      <c r="L258" t="s">
        <v>71</v>
      </c>
      <c r="M258" t="s">
        <v>44</v>
      </c>
      <c r="N258">
        <v>4.7</v>
      </c>
      <c r="O258">
        <v>4.7</v>
      </c>
    </row>
    <row r="259" spans="1:15" x14ac:dyDescent="0.3">
      <c r="A259" t="s">
        <v>698</v>
      </c>
      <c r="B259" t="s">
        <v>88</v>
      </c>
      <c r="C259" t="s">
        <v>699</v>
      </c>
      <c r="D259" t="s">
        <v>61</v>
      </c>
      <c r="E259" t="s">
        <v>116</v>
      </c>
      <c r="F259" t="s">
        <v>62</v>
      </c>
      <c r="G259" t="s">
        <v>4</v>
      </c>
      <c r="H259">
        <v>1.1000000000000001</v>
      </c>
      <c r="I259">
        <v>8</v>
      </c>
      <c r="J259">
        <v>122</v>
      </c>
      <c r="K259" t="s">
        <v>102</v>
      </c>
      <c r="L259" t="s">
        <v>43</v>
      </c>
      <c r="M259" t="s">
        <v>44</v>
      </c>
      <c r="N259">
        <v>5</v>
      </c>
      <c r="O259">
        <v>4.9000000000000004</v>
      </c>
    </row>
    <row r="260" spans="1:15" x14ac:dyDescent="0.3">
      <c r="A260" t="s">
        <v>700</v>
      </c>
      <c r="B260" t="s">
        <v>531</v>
      </c>
      <c r="C260" t="s">
        <v>589</v>
      </c>
      <c r="D260" t="s">
        <v>106</v>
      </c>
      <c r="E260" t="s">
        <v>472</v>
      </c>
      <c r="F260" t="s">
        <v>107</v>
      </c>
      <c r="G260" t="s">
        <v>7</v>
      </c>
      <c r="H260">
        <v>13.3</v>
      </c>
      <c r="I260">
        <v>23</v>
      </c>
      <c r="J260">
        <v>502</v>
      </c>
      <c r="K260" t="s">
        <v>102</v>
      </c>
      <c r="L260" t="s">
        <v>71</v>
      </c>
      <c r="M260" t="s">
        <v>44</v>
      </c>
      <c r="N260">
        <v>4.4000000000000004</v>
      </c>
      <c r="O260">
        <v>4.7</v>
      </c>
    </row>
    <row r="261" spans="1:15" x14ac:dyDescent="0.3">
      <c r="A261" t="s">
        <v>701</v>
      </c>
      <c r="B261" t="s">
        <v>98</v>
      </c>
      <c r="C261" t="s">
        <v>702</v>
      </c>
      <c r="D261" t="s">
        <v>68</v>
      </c>
      <c r="E261" t="s">
        <v>195</v>
      </c>
      <c r="F261" t="s">
        <v>130</v>
      </c>
      <c r="G261" t="s">
        <v>6</v>
      </c>
      <c r="H261">
        <v>7.2</v>
      </c>
      <c r="I261">
        <v>19</v>
      </c>
      <c r="J261">
        <v>186</v>
      </c>
      <c r="K261" t="s">
        <v>102</v>
      </c>
      <c r="L261" t="s">
        <v>34</v>
      </c>
      <c r="M261" t="s">
        <v>35</v>
      </c>
      <c r="N261">
        <v>4.7</v>
      </c>
      <c r="O261">
        <v>4.7</v>
      </c>
    </row>
    <row r="262" spans="1:15" x14ac:dyDescent="0.3">
      <c r="A262" t="s">
        <v>703</v>
      </c>
      <c r="B262" t="s">
        <v>249</v>
      </c>
      <c r="C262" t="s">
        <v>704</v>
      </c>
      <c r="D262" t="s">
        <v>106</v>
      </c>
      <c r="E262" t="s">
        <v>187</v>
      </c>
      <c r="F262" t="s">
        <v>108</v>
      </c>
      <c r="G262" t="s">
        <v>5</v>
      </c>
      <c r="H262">
        <v>6.5</v>
      </c>
      <c r="I262">
        <v>9</v>
      </c>
      <c r="J262">
        <v>188</v>
      </c>
      <c r="K262" t="s">
        <v>33</v>
      </c>
      <c r="L262" t="s">
        <v>43</v>
      </c>
      <c r="M262" t="s">
        <v>44</v>
      </c>
      <c r="N262">
        <v>4.5999999999999996</v>
      </c>
      <c r="O262">
        <v>5</v>
      </c>
    </row>
    <row r="263" spans="1:15" x14ac:dyDescent="0.3">
      <c r="A263" t="s">
        <v>705</v>
      </c>
      <c r="B263" t="s">
        <v>294</v>
      </c>
      <c r="C263" t="s">
        <v>706</v>
      </c>
      <c r="D263" t="s">
        <v>158</v>
      </c>
      <c r="E263" t="s">
        <v>283</v>
      </c>
      <c r="F263" t="s">
        <v>316</v>
      </c>
      <c r="G263" t="s">
        <v>7</v>
      </c>
      <c r="H263">
        <v>18.399999999999999</v>
      </c>
      <c r="I263">
        <v>60</v>
      </c>
      <c r="J263">
        <v>509</v>
      </c>
      <c r="K263" t="s">
        <v>33</v>
      </c>
      <c r="L263" t="s">
        <v>49</v>
      </c>
      <c r="M263" t="s">
        <v>44</v>
      </c>
      <c r="N263">
        <v>4.5</v>
      </c>
      <c r="O263">
        <v>5</v>
      </c>
    </row>
    <row r="264" spans="1:15" x14ac:dyDescent="0.3">
      <c r="A264" t="s">
        <v>707</v>
      </c>
      <c r="B264" t="s">
        <v>232</v>
      </c>
      <c r="C264" t="s">
        <v>708</v>
      </c>
      <c r="D264" t="s">
        <v>39</v>
      </c>
      <c r="E264" t="s">
        <v>278</v>
      </c>
      <c r="F264" t="s">
        <v>48</v>
      </c>
      <c r="G264" t="s">
        <v>6</v>
      </c>
      <c r="H264">
        <v>7.3</v>
      </c>
      <c r="I264">
        <v>27</v>
      </c>
      <c r="J264">
        <v>154</v>
      </c>
      <c r="K264" t="s">
        <v>42</v>
      </c>
      <c r="L264" t="s">
        <v>78</v>
      </c>
      <c r="M264" t="s">
        <v>44</v>
      </c>
      <c r="N264">
        <v>4.5999999999999996</v>
      </c>
      <c r="O264">
        <v>4.8</v>
      </c>
    </row>
    <row r="265" spans="1:15" x14ac:dyDescent="0.3">
      <c r="A265" t="s">
        <v>709</v>
      </c>
      <c r="B265" t="s">
        <v>410</v>
      </c>
      <c r="C265" t="s">
        <v>710</v>
      </c>
      <c r="D265" t="s">
        <v>75</v>
      </c>
      <c r="E265" t="s">
        <v>77</v>
      </c>
      <c r="F265" t="s">
        <v>239</v>
      </c>
      <c r="G265" t="s">
        <v>2</v>
      </c>
      <c r="H265">
        <v>2.2000000000000002</v>
      </c>
      <c r="I265">
        <v>10</v>
      </c>
      <c r="J265">
        <v>53</v>
      </c>
      <c r="K265" t="s">
        <v>102</v>
      </c>
      <c r="L265" t="s">
        <v>78</v>
      </c>
      <c r="M265" t="s">
        <v>44</v>
      </c>
      <c r="N265">
        <v>4.8</v>
      </c>
      <c r="O265">
        <v>4.8</v>
      </c>
    </row>
    <row r="266" spans="1:15" x14ac:dyDescent="0.3">
      <c r="A266" t="s">
        <v>711</v>
      </c>
      <c r="B266" t="s">
        <v>37</v>
      </c>
      <c r="C266" t="s">
        <v>712</v>
      </c>
      <c r="D266" t="s">
        <v>75</v>
      </c>
      <c r="E266" t="s">
        <v>394</v>
      </c>
      <c r="F266" t="s">
        <v>146</v>
      </c>
      <c r="G266" t="s">
        <v>6</v>
      </c>
      <c r="H266">
        <v>8.3000000000000007</v>
      </c>
      <c r="I266">
        <v>29</v>
      </c>
      <c r="J266">
        <v>183</v>
      </c>
      <c r="K266" t="s">
        <v>33</v>
      </c>
      <c r="L266" t="s">
        <v>64</v>
      </c>
      <c r="M266" t="s">
        <v>44</v>
      </c>
      <c r="N266">
        <v>4.3</v>
      </c>
      <c r="O266">
        <v>4.7</v>
      </c>
    </row>
    <row r="267" spans="1:15" x14ac:dyDescent="0.3">
      <c r="A267" t="s">
        <v>713</v>
      </c>
      <c r="B267" t="s">
        <v>410</v>
      </c>
      <c r="C267" t="s">
        <v>714</v>
      </c>
      <c r="D267" t="s">
        <v>39</v>
      </c>
      <c r="E267" t="s">
        <v>155</v>
      </c>
      <c r="F267" t="s">
        <v>40</v>
      </c>
      <c r="G267" t="s">
        <v>4</v>
      </c>
      <c r="H267">
        <v>5.3</v>
      </c>
      <c r="I267">
        <v>21</v>
      </c>
      <c r="J267">
        <v>192</v>
      </c>
      <c r="K267" t="s">
        <v>33</v>
      </c>
      <c r="L267" t="s">
        <v>34</v>
      </c>
      <c r="M267" t="s">
        <v>35</v>
      </c>
      <c r="N267">
        <v>4.4000000000000004</v>
      </c>
      <c r="O267">
        <v>4.5999999999999996</v>
      </c>
    </row>
    <row r="268" spans="1:15" x14ac:dyDescent="0.3">
      <c r="A268" t="s">
        <v>715</v>
      </c>
      <c r="B268" t="s">
        <v>118</v>
      </c>
      <c r="C268" t="s">
        <v>716</v>
      </c>
      <c r="D268" t="s">
        <v>39</v>
      </c>
      <c r="E268" t="s">
        <v>484</v>
      </c>
      <c r="F268" t="s">
        <v>155</v>
      </c>
      <c r="G268" t="s">
        <v>7</v>
      </c>
      <c r="H268">
        <v>4.9000000000000004</v>
      </c>
      <c r="I268">
        <v>15</v>
      </c>
      <c r="J268">
        <v>198</v>
      </c>
      <c r="K268" t="s">
        <v>42</v>
      </c>
      <c r="L268" t="s">
        <v>43</v>
      </c>
      <c r="M268" t="s">
        <v>44</v>
      </c>
      <c r="N268">
        <v>4.5</v>
      </c>
      <c r="O268">
        <v>4.9000000000000004</v>
      </c>
    </row>
    <row r="269" spans="1:15" x14ac:dyDescent="0.3">
      <c r="A269" t="s">
        <v>717</v>
      </c>
      <c r="B269" t="s">
        <v>88</v>
      </c>
      <c r="C269" t="s">
        <v>718</v>
      </c>
      <c r="D269" t="s">
        <v>61</v>
      </c>
      <c r="E269" t="s">
        <v>62</v>
      </c>
      <c r="F269" t="s">
        <v>116</v>
      </c>
      <c r="G269" t="s">
        <v>6</v>
      </c>
      <c r="H269">
        <v>1.2</v>
      </c>
      <c r="I269">
        <v>5</v>
      </c>
      <c r="J269">
        <v>51</v>
      </c>
      <c r="K269" t="s">
        <v>42</v>
      </c>
      <c r="L269" t="s">
        <v>78</v>
      </c>
      <c r="M269" t="s">
        <v>44</v>
      </c>
      <c r="N269">
        <v>4.2</v>
      </c>
      <c r="O269">
        <v>4.7</v>
      </c>
    </row>
    <row r="270" spans="1:15" x14ac:dyDescent="0.3">
      <c r="A270" t="s">
        <v>719</v>
      </c>
      <c r="B270" t="s">
        <v>684</v>
      </c>
      <c r="C270" t="s">
        <v>720</v>
      </c>
      <c r="D270" t="s">
        <v>61</v>
      </c>
      <c r="E270" t="s">
        <v>116</v>
      </c>
      <c r="F270" t="s">
        <v>328</v>
      </c>
      <c r="G270" t="s">
        <v>6</v>
      </c>
      <c r="H270">
        <v>9.5</v>
      </c>
      <c r="I270">
        <v>27</v>
      </c>
      <c r="J270">
        <v>233</v>
      </c>
      <c r="K270" t="s">
        <v>33</v>
      </c>
      <c r="L270" t="s">
        <v>49</v>
      </c>
      <c r="M270" t="s">
        <v>44</v>
      </c>
      <c r="N270">
        <v>4.2</v>
      </c>
      <c r="O270">
        <v>4.7</v>
      </c>
    </row>
    <row r="271" spans="1:15" x14ac:dyDescent="0.3">
      <c r="A271" t="s">
        <v>721</v>
      </c>
      <c r="B271" t="s">
        <v>264</v>
      </c>
      <c r="C271" t="s">
        <v>722</v>
      </c>
      <c r="D271" t="s">
        <v>53</v>
      </c>
      <c r="E271" t="s">
        <v>515</v>
      </c>
      <c r="F271" t="s">
        <v>236</v>
      </c>
      <c r="G271" t="s">
        <v>6</v>
      </c>
      <c r="H271">
        <v>11.5</v>
      </c>
      <c r="I271">
        <v>29</v>
      </c>
      <c r="J271">
        <v>303</v>
      </c>
      <c r="K271" t="s">
        <v>42</v>
      </c>
      <c r="L271" t="s">
        <v>71</v>
      </c>
      <c r="M271" t="s">
        <v>44</v>
      </c>
      <c r="N271">
        <v>4.5999999999999996</v>
      </c>
      <c r="O271">
        <v>4.4000000000000004</v>
      </c>
    </row>
    <row r="272" spans="1:15" x14ac:dyDescent="0.3">
      <c r="A272" t="s">
        <v>723</v>
      </c>
      <c r="B272" t="s">
        <v>243</v>
      </c>
      <c r="C272" t="s">
        <v>724</v>
      </c>
      <c r="D272" t="s">
        <v>61</v>
      </c>
      <c r="E272" t="s">
        <v>62</v>
      </c>
      <c r="F272" t="s">
        <v>191</v>
      </c>
      <c r="G272" t="s">
        <v>5</v>
      </c>
      <c r="H272">
        <v>7.9</v>
      </c>
      <c r="I272">
        <v>14</v>
      </c>
      <c r="J272">
        <v>272</v>
      </c>
      <c r="K272" t="s">
        <v>33</v>
      </c>
      <c r="L272" t="s">
        <v>64</v>
      </c>
      <c r="M272" t="s">
        <v>44</v>
      </c>
      <c r="N272">
        <v>4.3</v>
      </c>
      <c r="O272">
        <v>5</v>
      </c>
    </row>
    <row r="273" spans="1:15" x14ac:dyDescent="0.3">
      <c r="A273" t="s">
        <v>725</v>
      </c>
      <c r="B273" t="s">
        <v>114</v>
      </c>
      <c r="C273" t="s">
        <v>613</v>
      </c>
      <c r="D273" t="s">
        <v>81</v>
      </c>
      <c r="E273" t="s">
        <v>83</v>
      </c>
      <c r="F273" t="s">
        <v>91</v>
      </c>
      <c r="G273" t="s">
        <v>6</v>
      </c>
      <c r="H273">
        <v>2.4</v>
      </c>
      <c r="I273">
        <v>7</v>
      </c>
      <c r="J273">
        <v>137</v>
      </c>
      <c r="K273" t="s">
        <v>33</v>
      </c>
      <c r="L273" t="s">
        <v>64</v>
      </c>
      <c r="M273" t="s">
        <v>44</v>
      </c>
      <c r="N273">
        <v>4.7</v>
      </c>
      <c r="O273">
        <v>4.9000000000000004</v>
      </c>
    </row>
    <row r="274" spans="1:15" x14ac:dyDescent="0.3">
      <c r="A274" t="s">
        <v>726</v>
      </c>
      <c r="B274" t="s">
        <v>727</v>
      </c>
      <c r="C274" t="s">
        <v>728</v>
      </c>
      <c r="D274" t="s">
        <v>30</v>
      </c>
      <c r="E274" t="s">
        <v>138</v>
      </c>
      <c r="F274" t="s">
        <v>100</v>
      </c>
      <c r="G274" t="s">
        <v>6</v>
      </c>
      <c r="H274">
        <v>7.1</v>
      </c>
      <c r="I274">
        <v>18</v>
      </c>
      <c r="J274">
        <v>192</v>
      </c>
      <c r="K274" t="s">
        <v>33</v>
      </c>
      <c r="L274" t="s">
        <v>71</v>
      </c>
      <c r="M274" t="s">
        <v>44</v>
      </c>
      <c r="N274">
        <v>4.9000000000000004</v>
      </c>
      <c r="O274">
        <v>4.9000000000000004</v>
      </c>
    </row>
    <row r="275" spans="1:15" x14ac:dyDescent="0.3">
      <c r="A275" t="s">
        <v>729</v>
      </c>
      <c r="B275" t="s">
        <v>181</v>
      </c>
      <c r="C275" t="s">
        <v>730</v>
      </c>
      <c r="D275" t="s">
        <v>39</v>
      </c>
      <c r="E275" t="s">
        <v>484</v>
      </c>
      <c r="F275" t="s">
        <v>278</v>
      </c>
      <c r="G275" t="s">
        <v>3</v>
      </c>
      <c r="H275">
        <v>5.2</v>
      </c>
      <c r="I275">
        <v>13</v>
      </c>
      <c r="J275">
        <v>300</v>
      </c>
      <c r="K275" t="s">
        <v>102</v>
      </c>
      <c r="L275" t="s">
        <v>161</v>
      </c>
      <c r="M275" t="s">
        <v>35</v>
      </c>
      <c r="N275">
        <v>4.5</v>
      </c>
      <c r="O275">
        <v>4.7</v>
      </c>
    </row>
    <row r="276" spans="1:15" x14ac:dyDescent="0.3">
      <c r="A276" t="s">
        <v>731</v>
      </c>
      <c r="B276" t="s">
        <v>647</v>
      </c>
      <c r="C276" t="s">
        <v>732</v>
      </c>
      <c r="D276" t="s">
        <v>68</v>
      </c>
      <c r="E276" t="s">
        <v>195</v>
      </c>
      <c r="F276" t="s">
        <v>130</v>
      </c>
      <c r="G276" t="s">
        <v>6</v>
      </c>
      <c r="H276">
        <v>3.9</v>
      </c>
      <c r="I276">
        <v>8</v>
      </c>
      <c r="J276">
        <v>108</v>
      </c>
      <c r="K276" t="s">
        <v>102</v>
      </c>
      <c r="L276" t="s">
        <v>57</v>
      </c>
      <c r="M276" t="s">
        <v>35</v>
      </c>
      <c r="N276">
        <v>4.8</v>
      </c>
      <c r="O276">
        <v>4.3</v>
      </c>
    </row>
    <row r="277" spans="1:15" x14ac:dyDescent="0.3">
      <c r="A277" t="s">
        <v>733</v>
      </c>
      <c r="B277" t="s">
        <v>481</v>
      </c>
      <c r="C277" t="s">
        <v>606</v>
      </c>
      <c r="D277" t="s">
        <v>68</v>
      </c>
      <c r="E277" t="s">
        <v>195</v>
      </c>
      <c r="F277" t="s">
        <v>150</v>
      </c>
      <c r="G277" t="s">
        <v>6</v>
      </c>
      <c r="H277">
        <v>4.4000000000000004</v>
      </c>
      <c r="I277">
        <v>14</v>
      </c>
      <c r="J277">
        <v>149</v>
      </c>
      <c r="K277" t="s">
        <v>102</v>
      </c>
      <c r="L277" t="s">
        <v>71</v>
      </c>
      <c r="M277" t="s">
        <v>44</v>
      </c>
      <c r="N277">
        <v>4.7</v>
      </c>
      <c r="O277">
        <v>5</v>
      </c>
    </row>
    <row r="278" spans="1:15" x14ac:dyDescent="0.3">
      <c r="A278" t="s">
        <v>734</v>
      </c>
      <c r="B278" t="s">
        <v>185</v>
      </c>
      <c r="C278" t="s">
        <v>735</v>
      </c>
      <c r="D278" t="s">
        <v>61</v>
      </c>
      <c r="E278" t="s">
        <v>95</v>
      </c>
      <c r="F278" t="s">
        <v>62</v>
      </c>
      <c r="G278" t="s">
        <v>6</v>
      </c>
      <c r="H278">
        <v>14.1</v>
      </c>
      <c r="I278">
        <v>39</v>
      </c>
      <c r="J278">
        <v>263</v>
      </c>
      <c r="K278" t="s">
        <v>33</v>
      </c>
      <c r="L278" t="s">
        <v>57</v>
      </c>
      <c r="M278" t="s">
        <v>35</v>
      </c>
      <c r="N278">
        <v>4.8</v>
      </c>
      <c r="O278">
        <v>4.5</v>
      </c>
    </row>
    <row r="279" spans="1:15" x14ac:dyDescent="0.3">
      <c r="A279" t="s">
        <v>736</v>
      </c>
      <c r="B279" t="s">
        <v>403</v>
      </c>
      <c r="C279" t="s">
        <v>364</v>
      </c>
      <c r="D279" t="s">
        <v>30</v>
      </c>
      <c r="E279" t="s">
        <v>142</v>
      </c>
      <c r="F279" t="s">
        <v>112</v>
      </c>
      <c r="G279" t="s">
        <v>6</v>
      </c>
      <c r="H279">
        <v>10.8</v>
      </c>
      <c r="I279">
        <v>38</v>
      </c>
      <c r="J279">
        <v>321</v>
      </c>
      <c r="K279" t="s">
        <v>33</v>
      </c>
      <c r="L279" t="s">
        <v>71</v>
      </c>
      <c r="M279" t="s">
        <v>44</v>
      </c>
      <c r="N279">
        <v>4.9000000000000004</v>
      </c>
      <c r="O279">
        <v>4.8</v>
      </c>
    </row>
    <row r="280" spans="1:15" x14ac:dyDescent="0.3">
      <c r="A280" t="s">
        <v>737</v>
      </c>
      <c r="B280" t="s">
        <v>410</v>
      </c>
      <c r="C280" t="s">
        <v>327</v>
      </c>
      <c r="D280" t="s">
        <v>61</v>
      </c>
      <c r="E280" t="s">
        <v>62</v>
      </c>
      <c r="F280" t="s">
        <v>63</v>
      </c>
      <c r="G280" t="s">
        <v>3</v>
      </c>
      <c r="H280">
        <v>17</v>
      </c>
      <c r="I280">
        <v>42</v>
      </c>
      <c r="J280">
        <v>606</v>
      </c>
      <c r="K280" t="s">
        <v>102</v>
      </c>
      <c r="L280" t="s">
        <v>161</v>
      </c>
      <c r="M280" t="s">
        <v>35</v>
      </c>
      <c r="N280">
        <v>4.8</v>
      </c>
      <c r="O280">
        <v>4.8</v>
      </c>
    </row>
    <row r="281" spans="1:15" x14ac:dyDescent="0.3">
      <c r="A281" t="s">
        <v>738</v>
      </c>
      <c r="B281" t="s">
        <v>684</v>
      </c>
      <c r="C281" t="s">
        <v>739</v>
      </c>
      <c r="D281" t="s">
        <v>106</v>
      </c>
      <c r="E281" t="s">
        <v>168</v>
      </c>
      <c r="F281" t="s">
        <v>107</v>
      </c>
      <c r="G281" t="s">
        <v>3</v>
      </c>
      <c r="H281">
        <v>7.6</v>
      </c>
      <c r="I281">
        <v>12</v>
      </c>
      <c r="J281">
        <v>451</v>
      </c>
      <c r="K281" t="s">
        <v>102</v>
      </c>
      <c r="L281" t="s">
        <v>43</v>
      </c>
      <c r="M281" t="s">
        <v>44</v>
      </c>
      <c r="N281">
        <v>4.9000000000000004</v>
      </c>
      <c r="O281">
        <v>5</v>
      </c>
    </row>
    <row r="282" spans="1:15" x14ac:dyDescent="0.3">
      <c r="A282" t="s">
        <v>740</v>
      </c>
      <c r="B282" t="s">
        <v>400</v>
      </c>
      <c r="C282" t="s">
        <v>741</v>
      </c>
      <c r="D282" t="s">
        <v>68</v>
      </c>
      <c r="E282" t="s">
        <v>70</v>
      </c>
      <c r="F282" t="s">
        <v>69</v>
      </c>
      <c r="G282" t="s">
        <v>6</v>
      </c>
      <c r="H282">
        <v>6</v>
      </c>
      <c r="I282">
        <v>13</v>
      </c>
      <c r="J282">
        <v>209</v>
      </c>
      <c r="K282" t="s">
        <v>33</v>
      </c>
      <c r="L282" t="s">
        <v>43</v>
      </c>
      <c r="M282" t="s">
        <v>44</v>
      </c>
      <c r="N282">
        <v>4.7</v>
      </c>
      <c r="O282">
        <v>4.9000000000000004</v>
      </c>
    </row>
    <row r="283" spans="1:15" x14ac:dyDescent="0.3">
      <c r="A283" t="s">
        <v>742</v>
      </c>
      <c r="B283" t="s">
        <v>132</v>
      </c>
      <c r="C283" t="s">
        <v>743</v>
      </c>
      <c r="D283" t="s">
        <v>68</v>
      </c>
      <c r="E283" t="s">
        <v>195</v>
      </c>
      <c r="F283" t="s">
        <v>130</v>
      </c>
      <c r="G283" t="s">
        <v>6</v>
      </c>
      <c r="H283">
        <v>2.4</v>
      </c>
      <c r="I283">
        <v>12</v>
      </c>
      <c r="J283">
        <v>109</v>
      </c>
      <c r="K283" t="s">
        <v>42</v>
      </c>
      <c r="L283" t="s">
        <v>49</v>
      </c>
      <c r="M283" t="s">
        <v>44</v>
      </c>
      <c r="N283">
        <v>4.9000000000000004</v>
      </c>
      <c r="O283">
        <v>4.8</v>
      </c>
    </row>
    <row r="284" spans="1:15" x14ac:dyDescent="0.3">
      <c r="A284" t="s">
        <v>744</v>
      </c>
      <c r="B284" t="s">
        <v>476</v>
      </c>
      <c r="C284" t="s">
        <v>745</v>
      </c>
      <c r="D284" t="s">
        <v>158</v>
      </c>
      <c r="E284" t="s">
        <v>283</v>
      </c>
      <c r="F284" t="s">
        <v>160</v>
      </c>
      <c r="G284" t="s">
        <v>2</v>
      </c>
      <c r="H284">
        <v>6.6</v>
      </c>
      <c r="I284">
        <v>15</v>
      </c>
      <c r="J284">
        <v>129</v>
      </c>
      <c r="K284" t="s">
        <v>33</v>
      </c>
      <c r="L284" t="s">
        <v>57</v>
      </c>
      <c r="M284" t="s">
        <v>35</v>
      </c>
      <c r="N284">
        <v>4.4000000000000004</v>
      </c>
      <c r="O284">
        <v>4.5999999999999996</v>
      </c>
    </row>
    <row r="285" spans="1:15" x14ac:dyDescent="0.3">
      <c r="A285" t="s">
        <v>746</v>
      </c>
      <c r="B285" t="s">
        <v>114</v>
      </c>
      <c r="C285" t="s">
        <v>747</v>
      </c>
      <c r="D285" t="s">
        <v>30</v>
      </c>
      <c r="E285" t="s">
        <v>179</v>
      </c>
      <c r="F285" t="s">
        <v>100</v>
      </c>
      <c r="G285" t="s">
        <v>3</v>
      </c>
      <c r="H285">
        <v>4</v>
      </c>
      <c r="I285">
        <v>6</v>
      </c>
      <c r="J285">
        <v>274</v>
      </c>
      <c r="K285" t="s">
        <v>33</v>
      </c>
      <c r="L285" t="s">
        <v>49</v>
      </c>
      <c r="M285" t="s">
        <v>44</v>
      </c>
      <c r="N285">
        <v>4.9000000000000004</v>
      </c>
      <c r="O285">
        <v>4.5</v>
      </c>
    </row>
    <row r="286" spans="1:15" x14ac:dyDescent="0.3">
      <c r="A286" t="s">
        <v>748</v>
      </c>
      <c r="B286" t="s">
        <v>189</v>
      </c>
      <c r="C286" t="s">
        <v>749</v>
      </c>
      <c r="D286" t="s">
        <v>39</v>
      </c>
      <c r="E286" t="s">
        <v>155</v>
      </c>
      <c r="F286" t="s">
        <v>484</v>
      </c>
      <c r="G286" t="s">
        <v>6</v>
      </c>
      <c r="H286">
        <v>5.3</v>
      </c>
      <c r="I286">
        <v>19</v>
      </c>
      <c r="J286">
        <v>160</v>
      </c>
      <c r="K286" t="s">
        <v>33</v>
      </c>
      <c r="L286" t="s">
        <v>64</v>
      </c>
      <c r="M286" t="s">
        <v>44</v>
      </c>
      <c r="N286">
        <v>5</v>
      </c>
      <c r="O286">
        <v>4.9000000000000004</v>
      </c>
    </row>
    <row r="287" spans="1:15" x14ac:dyDescent="0.3">
      <c r="A287" t="s">
        <v>750</v>
      </c>
      <c r="B287" t="s">
        <v>586</v>
      </c>
      <c r="C287" t="s">
        <v>751</v>
      </c>
      <c r="D287" t="s">
        <v>30</v>
      </c>
      <c r="E287" t="s">
        <v>112</v>
      </c>
      <c r="F287" t="s">
        <v>179</v>
      </c>
      <c r="G287" t="s">
        <v>3</v>
      </c>
      <c r="H287">
        <v>8</v>
      </c>
      <c r="I287">
        <v>26</v>
      </c>
      <c r="J287">
        <v>381</v>
      </c>
      <c r="K287" t="s">
        <v>42</v>
      </c>
      <c r="L287" t="s">
        <v>161</v>
      </c>
      <c r="M287" t="s">
        <v>35</v>
      </c>
      <c r="N287">
        <v>4.7</v>
      </c>
      <c r="O287">
        <v>4.7</v>
      </c>
    </row>
    <row r="288" spans="1:15" x14ac:dyDescent="0.3">
      <c r="A288" t="s">
        <v>752</v>
      </c>
      <c r="B288" t="s">
        <v>441</v>
      </c>
      <c r="C288" t="s">
        <v>753</v>
      </c>
      <c r="D288" t="s">
        <v>61</v>
      </c>
      <c r="E288" t="s">
        <v>62</v>
      </c>
      <c r="F288" t="s">
        <v>96</v>
      </c>
      <c r="G288" t="s">
        <v>6</v>
      </c>
      <c r="H288">
        <v>9.6999999999999993</v>
      </c>
      <c r="I288">
        <v>12</v>
      </c>
      <c r="J288">
        <v>180</v>
      </c>
      <c r="K288" t="s">
        <v>102</v>
      </c>
      <c r="L288" t="s">
        <v>78</v>
      </c>
      <c r="M288" t="s">
        <v>44</v>
      </c>
      <c r="N288">
        <v>4.7</v>
      </c>
      <c r="O288">
        <v>4.7</v>
      </c>
    </row>
    <row r="289" spans="1:15" x14ac:dyDescent="0.3">
      <c r="A289" t="s">
        <v>754</v>
      </c>
      <c r="B289" t="s">
        <v>400</v>
      </c>
      <c r="C289" t="s">
        <v>755</v>
      </c>
      <c r="D289" t="s">
        <v>39</v>
      </c>
      <c r="E289" t="s">
        <v>484</v>
      </c>
      <c r="F289" t="s">
        <v>278</v>
      </c>
      <c r="G289" t="s">
        <v>6</v>
      </c>
      <c r="H289">
        <v>1.1000000000000001</v>
      </c>
      <c r="I289">
        <v>9</v>
      </c>
      <c r="J289">
        <v>61</v>
      </c>
      <c r="K289" t="s">
        <v>33</v>
      </c>
      <c r="L289" t="s">
        <v>78</v>
      </c>
      <c r="M289" t="s">
        <v>44</v>
      </c>
      <c r="N289">
        <v>4.4000000000000004</v>
      </c>
      <c r="O289">
        <v>4.7</v>
      </c>
    </row>
    <row r="290" spans="1:15" x14ac:dyDescent="0.3">
      <c r="A290" t="s">
        <v>756</v>
      </c>
      <c r="B290" t="s">
        <v>422</v>
      </c>
      <c r="C290" t="s">
        <v>757</v>
      </c>
      <c r="D290" t="s">
        <v>61</v>
      </c>
      <c r="E290" t="s">
        <v>183</v>
      </c>
      <c r="F290" t="s">
        <v>328</v>
      </c>
      <c r="G290" t="s">
        <v>6</v>
      </c>
      <c r="H290">
        <v>12.9</v>
      </c>
      <c r="I290">
        <v>38</v>
      </c>
      <c r="J290">
        <v>282</v>
      </c>
      <c r="K290" t="s">
        <v>33</v>
      </c>
      <c r="L290" t="s">
        <v>49</v>
      </c>
      <c r="M290" t="s">
        <v>44</v>
      </c>
      <c r="N290">
        <v>4.5</v>
      </c>
      <c r="O290">
        <v>4.4000000000000004</v>
      </c>
    </row>
    <row r="291" spans="1:15" x14ac:dyDescent="0.3">
      <c r="A291" t="s">
        <v>758</v>
      </c>
      <c r="B291" t="s">
        <v>148</v>
      </c>
      <c r="C291" t="s">
        <v>759</v>
      </c>
      <c r="D291" t="s">
        <v>68</v>
      </c>
      <c r="E291" t="s">
        <v>69</v>
      </c>
      <c r="F291" t="s">
        <v>150</v>
      </c>
      <c r="G291" t="s">
        <v>5</v>
      </c>
      <c r="H291">
        <v>8.3000000000000007</v>
      </c>
      <c r="I291">
        <v>28</v>
      </c>
      <c r="J291">
        <v>220</v>
      </c>
      <c r="K291" t="s">
        <v>42</v>
      </c>
      <c r="L291" t="s">
        <v>64</v>
      </c>
      <c r="M291" t="s">
        <v>44</v>
      </c>
      <c r="N291">
        <v>4.5</v>
      </c>
      <c r="O291">
        <v>4.8</v>
      </c>
    </row>
    <row r="292" spans="1:15" x14ac:dyDescent="0.3">
      <c r="A292" t="s">
        <v>760</v>
      </c>
      <c r="B292" t="s">
        <v>303</v>
      </c>
      <c r="C292" t="s">
        <v>761</v>
      </c>
      <c r="D292" t="s">
        <v>61</v>
      </c>
      <c r="E292" t="s">
        <v>96</v>
      </c>
      <c r="F292" t="s">
        <v>191</v>
      </c>
      <c r="G292" t="s">
        <v>2</v>
      </c>
      <c r="H292">
        <v>5.8</v>
      </c>
      <c r="I292">
        <v>11</v>
      </c>
      <c r="J292">
        <v>105</v>
      </c>
      <c r="K292" t="s">
        <v>42</v>
      </c>
      <c r="L292" t="s">
        <v>49</v>
      </c>
      <c r="M292" t="s">
        <v>44</v>
      </c>
      <c r="N292">
        <v>4.2</v>
      </c>
      <c r="O292">
        <v>5</v>
      </c>
    </row>
    <row r="293" spans="1:15" x14ac:dyDescent="0.3">
      <c r="A293" t="s">
        <v>762</v>
      </c>
      <c r="B293" t="s">
        <v>410</v>
      </c>
      <c r="C293" t="s">
        <v>763</v>
      </c>
      <c r="D293" t="s">
        <v>75</v>
      </c>
      <c r="E293" t="s">
        <v>146</v>
      </c>
      <c r="F293" t="s">
        <v>230</v>
      </c>
      <c r="G293" t="s">
        <v>6</v>
      </c>
      <c r="H293">
        <v>4.5999999999999996</v>
      </c>
      <c r="I293">
        <v>13</v>
      </c>
      <c r="J293">
        <v>131</v>
      </c>
      <c r="K293" t="s">
        <v>33</v>
      </c>
      <c r="L293" t="s">
        <v>78</v>
      </c>
      <c r="M293" t="s">
        <v>44</v>
      </c>
      <c r="N293">
        <v>4.8</v>
      </c>
      <c r="O293">
        <v>4.5999999999999996</v>
      </c>
    </row>
    <row r="294" spans="1:15" x14ac:dyDescent="0.3">
      <c r="A294" t="s">
        <v>764</v>
      </c>
      <c r="B294" t="s">
        <v>273</v>
      </c>
      <c r="C294" t="s">
        <v>765</v>
      </c>
      <c r="D294" t="s">
        <v>75</v>
      </c>
      <c r="E294" t="s">
        <v>394</v>
      </c>
      <c r="F294" t="s">
        <v>146</v>
      </c>
      <c r="G294" t="s">
        <v>6</v>
      </c>
      <c r="H294">
        <v>4.8</v>
      </c>
      <c r="I294">
        <v>7</v>
      </c>
      <c r="J294">
        <v>132</v>
      </c>
      <c r="K294" t="s">
        <v>56</v>
      </c>
      <c r="L294" t="s">
        <v>57</v>
      </c>
      <c r="M294" t="s">
        <v>35</v>
      </c>
      <c r="N294">
        <v>4.8</v>
      </c>
      <c r="O294">
        <v>4.7</v>
      </c>
    </row>
    <row r="295" spans="1:15" x14ac:dyDescent="0.3">
      <c r="A295" t="s">
        <v>766</v>
      </c>
      <c r="B295" t="s">
        <v>118</v>
      </c>
      <c r="C295" t="s">
        <v>582</v>
      </c>
      <c r="D295" t="s">
        <v>68</v>
      </c>
      <c r="E295" t="s">
        <v>69</v>
      </c>
      <c r="F295" t="s">
        <v>150</v>
      </c>
      <c r="G295" t="s">
        <v>7</v>
      </c>
      <c r="H295">
        <v>16.3</v>
      </c>
      <c r="I295">
        <v>32</v>
      </c>
      <c r="J295">
        <v>417</v>
      </c>
      <c r="K295" t="s">
        <v>102</v>
      </c>
      <c r="L295" t="s">
        <v>78</v>
      </c>
      <c r="M295" t="s">
        <v>44</v>
      </c>
      <c r="N295">
        <v>4.8</v>
      </c>
      <c r="O295">
        <v>4.8</v>
      </c>
    </row>
    <row r="296" spans="1:15" x14ac:dyDescent="0.3">
      <c r="A296" t="s">
        <v>767</v>
      </c>
      <c r="B296" t="s">
        <v>152</v>
      </c>
      <c r="C296" t="s">
        <v>768</v>
      </c>
      <c r="D296" t="s">
        <v>75</v>
      </c>
      <c r="E296" t="s">
        <v>239</v>
      </c>
      <c r="F296" t="s">
        <v>76</v>
      </c>
      <c r="G296" t="s">
        <v>6</v>
      </c>
      <c r="H296">
        <v>5.4</v>
      </c>
      <c r="I296">
        <v>17</v>
      </c>
      <c r="J296">
        <v>156</v>
      </c>
      <c r="K296" t="s">
        <v>33</v>
      </c>
      <c r="L296" t="s">
        <v>49</v>
      </c>
      <c r="M296" t="s">
        <v>44</v>
      </c>
      <c r="N296">
        <v>4.9000000000000004</v>
      </c>
      <c r="O296">
        <v>4.4000000000000004</v>
      </c>
    </row>
    <row r="297" spans="1:15" x14ac:dyDescent="0.3">
      <c r="A297" t="s">
        <v>769</v>
      </c>
      <c r="B297" t="s">
        <v>276</v>
      </c>
      <c r="C297" t="s">
        <v>770</v>
      </c>
      <c r="D297" t="s">
        <v>61</v>
      </c>
      <c r="E297" t="s">
        <v>63</v>
      </c>
      <c r="F297" t="s">
        <v>183</v>
      </c>
      <c r="G297" t="s">
        <v>2</v>
      </c>
      <c r="H297">
        <v>11.2</v>
      </c>
      <c r="I297">
        <v>22</v>
      </c>
      <c r="J297">
        <v>220</v>
      </c>
      <c r="K297" t="s">
        <v>375</v>
      </c>
      <c r="L297" t="s">
        <v>43</v>
      </c>
      <c r="M297" t="s">
        <v>44</v>
      </c>
      <c r="N297">
        <v>4.8</v>
      </c>
      <c r="O297">
        <v>4.7</v>
      </c>
    </row>
    <row r="298" spans="1:15" x14ac:dyDescent="0.3">
      <c r="A298" t="s">
        <v>771</v>
      </c>
      <c r="B298" t="s">
        <v>218</v>
      </c>
      <c r="C298" t="s">
        <v>772</v>
      </c>
      <c r="D298" t="s">
        <v>61</v>
      </c>
      <c r="E298" t="s">
        <v>183</v>
      </c>
      <c r="F298" t="s">
        <v>62</v>
      </c>
      <c r="G298" t="s">
        <v>7</v>
      </c>
      <c r="H298">
        <v>11.5</v>
      </c>
      <c r="I298">
        <v>26</v>
      </c>
      <c r="J298">
        <v>308</v>
      </c>
      <c r="K298" t="s">
        <v>33</v>
      </c>
      <c r="L298" t="s">
        <v>78</v>
      </c>
      <c r="M298" t="s">
        <v>44</v>
      </c>
      <c r="N298">
        <v>4.0999999999999996</v>
      </c>
      <c r="O298">
        <v>5</v>
      </c>
    </row>
    <row r="299" spans="1:15" x14ac:dyDescent="0.3">
      <c r="A299" t="s">
        <v>773</v>
      </c>
      <c r="B299" t="s">
        <v>689</v>
      </c>
      <c r="C299" t="s">
        <v>743</v>
      </c>
      <c r="D299" t="s">
        <v>39</v>
      </c>
      <c r="E299" t="s">
        <v>484</v>
      </c>
      <c r="F299" t="s">
        <v>154</v>
      </c>
      <c r="G299" t="s">
        <v>4</v>
      </c>
      <c r="H299">
        <v>3.3</v>
      </c>
      <c r="I299">
        <v>10</v>
      </c>
      <c r="J299">
        <v>161</v>
      </c>
      <c r="K299" t="s">
        <v>56</v>
      </c>
      <c r="L299" t="s">
        <v>49</v>
      </c>
      <c r="M299" t="s">
        <v>44</v>
      </c>
      <c r="N299">
        <v>4.5</v>
      </c>
      <c r="O299">
        <v>4.9000000000000004</v>
      </c>
    </row>
    <row r="300" spans="1:15" x14ac:dyDescent="0.3">
      <c r="A300" t="s">
        <v>774</v>
      </c>
      <c r="B300" t="s">
        <v>273</v>
      </c>
      <c r="C300" t="s">
        <v>775</v>
      </c>
      <c r="D300" t="s">
        <v>53</v>
      </c>
      <c r="E300" t="s">
        <v>220</v>
      </c>
      <c r="F300" t="s">
        <v>54</v>
      </c>
      <c r="G300" t="s">
        <v>2</v>
      </c>
      <c r="H300">
        <v>3.1</v>
      </c>
      <c r="I300">
        <v>10</v>
      </c>
      <c r="J300">
        <v>62</v>
      </c>
      <c r="K300" t="s">
        <v>33</v>
      </c>
      <c r="L300" t="s">
        <v>57</v>
      </c>
      <c r="M300" t="s">
        <v>35</v>
      </c>
      <c r="N300">
        <v>4.5</v>
      </c>
      <c r="O300">
        <v>5</v>
      </c>
    </row>
    <row r="301" spans="1:15" x14ac:dyDescent="0.3">
      <c r="A301" t="s">
        <v>776</v>
      </c>
      <c r="B301" t="s">
        <v>536</v>
      </c>
      <c r="C301" t="s">
        <v>777</v>
      </c>
      <c r="D301" t="s">
        <v>81</v>
      </c>
      <c r="E301" t="s">
        <v>268</v>
      </c>
      <c r="F301" t="s">
        <v>82</v>
      </c>
      <c r="G301" t="s">
        <v>5</v>
      </c>
      <c r="H301">
        <v>1.3</v>
      </c>
      <c r="I301">
        <v>7</v>
      </c>
      <c r="J301">
        <v>110</v>
      </c>
      <c r="K301" t="s">
        <v>42</v>
      </c>
      <c r="L301" t="s">
        <v>43</v>
      </c>
      <c r="M301" t="s">
        <v>44</v>
      </c>
      <c r="N301">
        <v>4.2</v>
      </c>
      <c r="O301">
        <v>4.8</v>
      </c>
    </row>
    <row r="302" spans="1:15" x14ac:dyDescent="0.3">
      <c r="A302" t="s">
        <v>778</v>
      </c>
      <c r="B302" t="s">
        <v>468</v>
      </c>
      <c r="C302" t="s">
        <v>779</v>
      </c>
      <c r="D302" t="s">
        <v>75</v>
      </c>
      <c r="E302" t="s">
        <v>146</v>
      </c>
      <c r="F302" t="s">
        <v>394</v>
      </c>
      <c r="G302" t="s">
        <v>6</v>
      </c>
      <c r="H302">
        <v>4.0999999999999996</v>
      </c>
      <c r="I302">
        <v>11</v>
      </c>
      <c r="J302">
        <v>133</v>
      </c>
      <c r="K302" t="s">
        <v>33</v>
      </c>
      <c r="L302" t="s">
        <v>64</v>
      </c>
      <c r="M302" t="s">
        <v>44</v>
      </c>
      <c r="N302">
        <v>4.9000000000000004</v>
      </c>
      <c r="O302">
        <v>4.5999999999999996</v>
      </c>
    </row>
    <row r="303" spans="1:15" x14ac:dyDescent="0.3">
      <c r="A303" t="s">
        <v>780</v>
      </c>
      <c r="B303" t="s">
        <v>531</v>
      </c>
      <c r="C303" t="s">
        <v>781</v>
      </c>
      <c r="D303" t="s">
        <v>53</v>
      </c>
      <c r="E303" t="s">
        <v>221</v>
      </c>
      <c r="F303" t="s">
        <v>236</v>
      </c>
      <c r="G303" t="s">
        <v>6</v>
      </c>
      <c r="H303">
        <v>10.3</v>
      </c>
      <c r="I303">
        <v>15</v>
      </c>
      <c r="J303">
        <v>234</v>
      </c>
      <c r="K303" t="s">
        <v>33</v>
      </c>
      <c r="L303" t="s">
        <v>49</v>
      </c>
      <c r="M303" t="s">
        <v>44</v>
      </c>
      <c r="N303">
        <v>4.8</v>
      </c>
      <c r="O303">
        <v>4.7</v>
      </c>
    </row>
    <row r="304" spans="1:15" x14ac:dyDescent="0.3">
      <c r="A304" t="s">
        <v>782</v>
      </c>
      <c r="B304" t="s">
        <v>185</v>
      </c>
      <c r="C304" t="s">
        <v>783</v>
      </c>
      <c r="D304" t="s">
        <v>53</v>
      </c>
      <c r="E304" t="s">
        <v>515</v>
      </c>
      <c r="F304" t="s">
        <v>220</v>
      </c>
      <c r="G304" t="s">
        <v>2</v>
      </c>
      <c r="H304">
        <v>2.2999999999999998</v>
      </c>
      <c r="I304">
        <v>5</v>
      </c>
      <c r="J304">
        <v>74</v>
      </c>
      <c r="K304" t="s">
        <v>56</v>
      </c>
      <c r="L304" t="s">
        <v>78</v>
      </c>
      <c r="M304" t="s">
        <v>44</v>
      </c>
      <c r="N304">
        <v>4.8</v>
      </c>
      <c r="O304">
        <v>4.7</v>
      </c>
    </row>
    <row r="305" spans="1:15" x14ac:dyDescent="0.3">
      <c r="A305" t="s">
        <v>784</v>
      </c>
      <c r="B305" t="s">
        <v>243</v>
      </c>
      <c r="C305" t="s">
        <v>785</v>
      </c>
      <c r="D305" t="s">
        <v>30</v>
      </c>
      <c r="E305" t="s">
        <v>101</v>
      </c>
      <c r="F305" t="s">
        <v>112</v>
      </c>
      <c r="G305" t="s">
        <v>6</v>
      </c>
      <c r="H305">
        <v>10.9</v>
      </c>
      <c r="I305">
        <v>28</v>
      </c>
      <c r="J305">
        <v>296</v>
      </c>
      <c r="K305" t="s">
        <v>102</v>
      </c>
      <c r="L305" t="s">
        <v>43</v>
      </c>
      <c r="M305" t="s">
        <v>44</v>
      </c>
      <c r="N305">
        <v>4.5999999999999996</v>
      </c>
      <c r="O305">
        <v>4.5999999999999996</v>
      </c>
    </row>
    <row r="306" spans="1:15" x14ac:dyDescent="0.3">
      <c r="A306" t="s">
        <v>786</v>
      </c>
      <c r="B306" t="s">
        <v>185</v>
      </c>
      <c r="C306" t="s">
        <v>787</v>
      </c>
      <c r="D306" t="s">
        <v>30</v>
      </c>
      <c r="E306" t="s">
        <v>31</v>
      </c>
      <c r="F306" t="s">
        <v>179</v>
      </c>
      <c r="G306" t="s">
        <v>5</v>
      </c>
      <c r="H306">
        <v>15.2</v>
      </c>
      <c r="I306">
        <v>44</v>
      </c>
      <c r="J306">
        <v>399</v>
      </c>
      <c r="K306" t="s">
        <v>102</v>
      </c>
      <c r="L306" t="s">
        <v>64</v>
      </c>
      <c r="M306" t="s">
        <v>44</v>
      </c>
      <c r="N306">
        <v>4.5999999999999996</v>
      </c>
      <c r="O306">
        <v>4.4000000000000004</v>
      </c>
    </row>
    <row r="307" spans="1:15" x14ac:dyDescent="0.3">
      <c r="A307" t="s">
        <v>788</v>
      </c>
      <c r="B307" t="s">
        <v>88</v>
      </c>
      <c r="C307" t="s">
        <v>789</v>
      </c>
      <c r="D307" t="s">
        <v>53</v>
      </c>
      <c r="E307" t="s">
        <v>86</v>
      </c>
      <c r="F307" t="s">
        <v>55</v>
      </c>
      <c r="G307" t="s">
        <v>6</v>
      </c>
      <c r="H307">
        <v>13.7</v>
      </c>
      <c r="I307">
        <v>29</v>
      </c>
      <c r="J307">
        <v>293</v>
      </c>
      <c r="K307" t="s">
        <v>42</v>
      </c>
      <c r="L307" t="s">
        <v>49</v>
      </c>
      <c r="M307" t="s">
        <v>44</v>
      </c>
      <c r="N307">
        <v>5</v>
      </c>
      <c r="O307">
        <v>4.5999999999999996</v>
      </c>
    </row>
    <row r="308" spans="1:15" x14ac:dyDescent="0.3">
      <c r="A308" t="s">
        <v>790</v>
      </c>
      <c r="B308" t="s">
        <v>136</v>
      </c>
      <c r="C308" t="s">
        <v>791</v>
      </c>
      <c r="D308" t="s">
        <v>39</v>
      </c>
      <c r="E308" t="s">
        <v>41</v>
      </c>
      <c r="F308" t="s">
        <v>484</v>
      </c>
      <c r="G308" t="s">
        <v>2</v>
      </c>
      <c r="H308">
        <v>2.2999999999999998</v>
      </c>
      <c r="I308">
        <v>11</v>
      </c>
      <c r="J308">
        <v>85</v>
      </c>
      <c r="K308" t="s">
        <v>102</v>
      </c>
      <c r="L308" t="s">
        <v>71</v>
      </c>
      <c r="M308" t="s">
        <v>44</v>
      </c>
      <c r="N308">
        <v>4.9000000000000004</v>
      </c>
      <c r="O308">
        <v>5</v>
      </c>
    </row>
    <row r="309" spans="1:15" x14ac:dyDescent="0.3">
      <c r="A309" t="s">
        <v>792</v>
      </c>
      <c r="B309" t="s">
        <v>309</v>
      </c>
      <c r="C309" t="s">
        <v>793</v>
      </c>
      <c r="D309" t="s">
        <v>106</v>
      </c>
      <c r="E309" t="s">
        <v>126</v>
      </c>
      <c r="F309" t="s">
        <v>108</v>
      </c>
      <c r="G309" t="s">
        <v>6</v>
      </c>
      <c r="H309">
        <v>12</v>
      </c>
      <c r="I309">
        <v>22</v>
      </c>
      <c r="J309">
        <v>247</v>
      </c>
      <c r="K309" t="s">
        <v>42</v>
      </c>
      <c r="L309" t="s">
        <v>78</v>
      </c>
      <c r="M309" t="s">
        <v>44</v>
      </c>
      <c r="N309">
        <v>4.9000000000000004</v>
      </c>
      <c r="O309">
        <v>4.9000000000000004</v>
      </c>
    </row>
    <row r="310" spans="1:15" x14ac:dyDescent="0.3">
      <c r="A310" t="s">
        <v>794</v>
      </c>
      <c r="B310" t="s">
        <v>98</v>
      </c>
      <c r="C310" t="s">
        <v>795</v>
      </c>
      <c r="D310" t="s">
        <v>61</v>
      </c>
      <c r="E310" t="s">
        <v>116</v>
      </c>
      <c r="F310" t="s">
        <v>62</v>
      </c>
      <c r="G310" t="s">
        <v>6</v>
      </c>
      <c r="H310">
        <v>2.9</v>
      </c>
      <c r="I310">
        <v>6</v>
      </c>
      <c r="J310">
        <v>71</v>
      </c>
      <c r="K310" t="s">
        <v>33</v>
      </c>
      <c r="L310" t="s">
        <v>78</v>
      </c>
      <c r="M310" t="s">
        <v>44</v>
      </c>
      <c r="N310">
        <v>4.7</v>
      </c>
      <c r="O310">
        <v>4.7</v>
      </c>
    </row>
    <row r="311" spans="1:15" x14ac:dyDescent="0.3">
      <c r="A311" t="s">
        <v>796</v>
      </c>
      <c r="B311" t="s">
        <v>523</v>
      </c>
      <c r="C311" t="s">
        <v>797</v>
      </c>
      <c r="D311" t="s">
        <v>106</v>
      </c>
      <c r="E311" t="s">
        <v>472</v>
      </c>
      <c r="F311" t="s">
        <v>168</v>
      </c>
      <c r="G311" t="s">
        <v>6</v>
      </c>
      <c r="H311">
        <v>4.3</v>
      </c>
      <c r="I311">
        <v>6</v>
      </c>
      <c r="J311">
        <v>114</v>
      </c>
      <c r="K311" t="s">
        <v>33</v>
      </c>
      <c r="L311" t="s">
        <v>49</v>
      </c>
      <c r="M311" t="s">
        <v>44</v>
      </c>
      <c r="N311">
        <v>4.9000000000000004</v>
      </c>
      <c r="O311">
        <v>4.8</v>
      </c>
    </row>
    <row r="312" spans="1:15" x14ac:dyDescent="0.3">
      <c r="A312" t="s">
        <v>798</v>
      </c>
      <c r="B312" t="s">
        <v>476</v>
      </c>
      <c r="C312" t="s">
        <v>799</v>
      </c>
      <c r="D312" t="s">
        <v>61</v>
      </c>
      <c r="E312" t="s">
        <v>191</v>
      </c>
      <c r="F312" t="s">
        <v>95</v>
      </c>
      <c r="G312" t="s">
        <v>6</v>
      </c>
      <c r="H312">
        <v>2.6</v>
      </c>
      <c r="I312">
        <v>7</v>
      </c>
      <c r="J312">
        <v>105</v>
      </c>
      <c r="K312" t="s">
        <v>102</v>
      </c>
      <c r="L312" t="s">
        <v>78</v>
      </c>
      <c r="M312" t="s">
        <v>44</v>
      </c>
      <c r="N312">
        <v>4.8</v>
      </c>
      <c r="O312">
        <v>4.9000000000000004</v>
      </c>
    </row>
    <row r="313" spans="1:15" x14ac:dyDescent="0.3">
      <c r="A313" t="s">
        <v>800</v>
      </c>
      <c r="B313" t="s">
        <v>373</v>
      </c>
      <c r="C313" t="s">
        <v>466</v>
      </c>
      <c r="D313" t="s">
        <v>68</v>
      </c>
      <c r="E313" t="s">
        <v>69</v>
      </c>
      <c r="F313" t="s">
        <v>195</v>
      </c>
      <c r="G313" t="s">
        <v>2</v>
      </c>
      <c r="H313">
        <v>8.6</v>
      </c>
      <c r="I313">
        <v>27</v>
      </c>
      <c r="J313">
        <v>186</v>
      </c>
      <c r="K313" t="s">
        <v>102</v>
      </c>
      <c r="L313" t="s">
        <v>43</v>
      </c>
      <c r="M313" t="s">
        <v>44</v>
      </c>
      <c r="N313">
        <v>5</v>
      </c>
      <c r="O313">
        <v>4.5999999999999996</v>
      </c>
    </row>
    <row r="314" spans="1:15" x14ac:dyDescent="0.3">
      <c r="A314" t="s">
        <v>801</v>
      </c>
      <c r="B314" t="s">
        <v>453</v>
      </c>
      <c r="C314" t="s">
        <v>802</v>
      </c>
      <c r="D314" t="s">
        <v>30</v>
      </c>
      <c r="E314" t="s">
        <v>179</v>
      </c>
      <c r="F314" t="s">
        <v>31</v>
      </c>
      <c r="G314" t="s">
        <v>2</v>
      </c>
      <c r="H314">
        <v>2.2000000000000002</v>
      </c>
      <c r="I314">
        <v>10</v>
      </c>
      <c r="J314">
        <v>60</v>
      </c>
      <c r="K314" t="s">
        <v>192</v>
      </c>
      <c r="L314" t="s">
        <v>64</v>
      </c>
      <c r="M314" t="s">
        <v>44</v>
      </c>
      <c r="N314">
        <v>5</v>
      </c>
      <c r="O314">
        <v>5</v>
      </c>
    </row>
    <row r="315" spans="1:15" x14ac:dyDescent="0.3">
      <c r="A315" t="s">
        <v>803</v>
      </c>
      <c r="B315" t="s">
        <v>373</v>
      </c>
      <c r="C315" t="s">
        <v>804</v>
      </c>
      <c r="D315" t="s">
        <v>81</v>
      </c>
      <c r="E315" t="s">
        <v>83</v>
      </c>
      <c r="F315" t="s">
        <v>268</v>
      </c>
      <c r="G315" t="s">
        <v>2</v>
      </c>
      <c r="H315">
        <v>4.5999999999999996</v>
      </c>
      <c r="I315">
        <v>7</v>
      </c>
      <c r="J315">
        <v>102</v>
      </c>
      <c r="K315" t="s">
        <v>33</v>
      </c>
      <c r="L315" t="s">
        <v>49</v>
      </c>
      <c r="M315" t="s">
        <v>44</v>
      </c>
      <c r="N315">
        <v>4.5999999999999996</v>
      </c>
      <c r="O315">
        <v>4.7</v>
      </c>
    </row>
    <row r="316" spans="1:15" x14ac:dyDescent="0.3">
      <c r="A316" t="s">
        <v>805</v>
      </c>
      <c r="B316" t="s">
        <v>689</v>
      </c>
      <c r="C316" t="s">
        <v>806</v>
      </c>
      <c r="D316" t="s">
        <v>39</v>
      </c>
      <c r="E316" t="s">
        <v>484</v>
      </c>
      <c r="F316" t="s">
        <v>356</v>
      </c>
      <c r="G316" t="s">
        <v>6</v>
      </c>
      <c r="H316">
        <v>7</v>
      </c>
      <c r="I316">
        <v>15</v>
      </c>
      <c r="J316">
        <v>155</v>
      </c>
      <c r="K316" t="s">
        <v>33</v>
      </c>
      <c r="L316" t="s">
        <v>34</v>
      </c>
      <c r="M316" t="s">
        <v>35</v>
      </c>
      <c r="N316">
        <v>5</v>
      </c>
      <c r="O316">
        <v>5</v>
      </c>
    </row>
    <row r="317" spans="1:15" x14ac:dyDescent="0.3">
      <c r="A317" t="s">
        <v>807</v>
      </c>
      <c r="B317" t="s">
        <v>808</v>
      </c>
      <c r="C317" t="s">
        <v>809</v>
      </c>
      <c r="D317" t="s">
        <v>61</v>
      </c>
      <c r="E317" t="s">
        <v>183</v>
      </c>
      <c r="F317" t="s">
        <v>63</v>
      </c>
      <c r="G317" t="s">
        <v>2</v>
      </c>
      <c r="H317">
        <v>12.6</v>
      </c>
      <c r="I317">
        <v>30</v>
      </c>
      <c r="J317">
        <v>219</v>
      </c>
      <c r="K317" t="s">
        <v>33</v>
      </c>
      <c r="L317" t="s">
        <v>78</v>
      </c>
      <c r="M317" t="s">
        <v>44</v>
      </c>
      <c r="N317">
        <v>4.7</v>
      </c>
      <c r="O317">
        <v>4.5999999999999996</v>
      </c>
    </row>
    <row r="318" spans="1:15" x14ac:dyDescent="0.3">
      <c r="A318" t="s">
        <v>810</v>
      </c>
      <c r="B318" t="s">
        <v>197</v>
      </c>
      <c r="C318" t="s">
        <v>811</v>
      </c>
      <c r="D318" t="s">
        <v>30</v>
      </c>
      <c r="E318" t="s">
        <v>100</v>
      </c>
      <c r="F318" t="s">
        <v>112</v>
      </c>
      <c r="G318" t="s">
        <v>7</v>
      </c>
      <c r="H318">
        <v>8.9</v>
      </c>
      <c r="I318">
        <v>33</v>
      </c>
      <c r="J318">
        <v>260</v>
      </c>
      <c r="K318" t="s">
        <v>33</v>
      </c>
      <c r="L318" t="s">
        <v>49</v>
      </c>
      <c r="M318" t="s">
        <v>44</v>
      </c>
      <c r="N318">
        <v>4.5</v>
      </c>
      <c r="O318">
        <v>4.8</v>
      </c>
    </row>
    <row r="319" spans="1:15" x14ac:dyDescent="0.3">
      <c r="A319" t="s">
        <v>812</v>
      </c>
      <c r="B319" t="s">
        <v>531</v>
      </c>
      <c r="C319" t="s">
        <v>813</v>
      </c>
      <c r="D319" t="s">
        <v>61</v>
      </c>
      <c r="E319" t="s">
        <v>183</v>
      </c>
      <c r="F319" t="s">
        <v>328</v>
      </c>
      <c r="G319" t="s">
        <v>6</v>
      </c>
      <c r="H319">
        <v>10.199999999999999</v>
      </c>
      <c r="I319">
        <v>24</v>
      </c>
      <c r="J319">
        <v>210</v>
      </c>
      <c r="K319" t="s">
        <v>56</v>
      </c>
      <c r="L319" t="s">
        <v>78</v>
      </c>
      <c r="M319" t="s">
        <v>44</v>
      </c>
      <c r="N319">
        <v>4.9000000000000004</v>
      </c>
      <c r="O319">
        <v>5</v>
      </c>
    </row>
    <row r="320" spans="1:15" x14ac:dyDescent="0.3">
      <c r="A320" t="s">
        <v>814</v>
      </c>
      <c r="B320" t="s">
        <v>463</v>
      </c>
      <c r="C320" t="s">
        <v>815</v>
      </c>
      <c r="D320" t="s">
        <v>75</v>
      </c>
      <c r="E320" t="s">
        <v>239</v>
      </c>
      <c r="F320" t="s">
        <v>313</v>
      </c>
      <c r="G320" t="s">
        <v>4</v>
      </c>
      <c r="H320">
        <v>1.6</v>
      </c>
      <c r="I320">
        <v>5</v>
      </c>
      <c r="J320">
        <v>127</v>
      </c>
      <c r="K320" t="s">
        <v>56</v>
      </c>
      <c r="L320" t="s">
        <v>78</v>
      </c>
      <c r="M320" t="s">
        <v>44</v>
      </c>
      <c r="N320">
        <v>4.2</v>
      </c>
      <c r="O320">
        <v>5</v>
      </c>
    </row>
    <row r="321" spans="1:15" x14ac:dyDescent="0.3">
      <c r="A321" t="s">
        <v>816</v>
      </c>
      <c r="B321" t="s">
        <v>46</v>
      </c>
      <c r="C321" t="s">
        <v>519</v>
      </c>
      <c r="D321" t="s">
        <v>61</v>
      </c>
      <c r="E321" t="s">
        <v>116</v>
      </c>
      <c r="F321" t="s">
        <v>191</v>
      </c>
      <c r="G321" t="s">
        <v>2</v>
      </c>
      <c r="H321">
        <v>7.2</v>
      </c>
      <c r="I321">
        <v>21</v>
      </c>
      <c r="J321">
        <v>141</v>
      </c>
      <c r="K321" t="s">
        <v>33</v>
      </c>
      <c r="L321" t="s">
        <v>43</v>
      </c>
      <c r="M321" t="s">
        <v>44</v>
      </c>
      <c r="N321">
        <v>5</v>
      </c>
      <c r="O321">
        <v>4.9000000000000004</v>
      </c>
    </row>
    <row r="322" spans="1:15" x14ac:dyDescent="0.3">
      <c r="A322" t="s">
        <v>817</v>
      </c>
      <c r="B322" t="s">
        <v>441</v>
      </c>
      <c r="C322" t="s">
        <v>818</v>
      </c>
      <c r="D322" t="s">
        <v>61</v>
      </c>
      <c r="E322" t="s">
        <v>116</v>
      </c>
      <c r="F322" t="s">
        <v>96</v>
      </c>
      <c r="G322" t="s">
        <v>5</v>
      </c>
      <c r="H322">
        <v>5.9</v>
      </c>
      <c r="I322">
        <v>18</v>
      </c>
      <c r="J322">
        <v>140</v>
      </c>
      <c r="K322" t="s">
        <v>33</v>
      </c>
      <c r="L322" t="s">
        <v>78</v>
      </c>
      <c r="M322" t="s">
        <v>44</v>
      </c>
      <c r="N322">
        <v>4.2</v>
      </c>
      <c r="O322">
        <v>4.7</v>
      </c>
    </row>
    <row r="323" spans="1:15" x14ac:dyDescent="0.3">
      <c r="A323" t="s">
        <v>819</v>
      </c>
      <c r="B323" t="s">
        <v>306</v>
      </c>
      <c r="C323" t="s">
        <v>820</v>
      </c>
      <c r="D323" t="s">
        <v>61</v>
      </c>
      <c r="E323" t="s">
        <v>191</v>
      </c>
      <c r="F323" t="s">
        <v>183</v>
      </c>
      <c r="G323" t="s">
        <v>6</v>
      </c>
      <c r="H323">
        <v>17.399999999999999</v>
      </c>
      <c r="I323">
        <v>33</v>
      </c>
      <c r="J323">
        <v>391</v>
      </c>
      <c r="K323" t="s">
        <v>102</v>
      </c>
      <c r="L323" t="s">
        <v>71</v>
      </c>
      <c r="M323" t="s">
        <v>44</v>
      </c>
      <c r="N323">
        <v>4.7</v>
      </c>
      <c r="O323">
        <v>4.8</v>
      </c>
    </row>
    <row r="324" spans="1:15" x14ac:dyDescent="0.3">
      <c r="A324" t="s">
        <v>821</v>
      </c>
      <c r="B324" t="s">
        <v>270</v>
      </c>
      <c r="C324" t="s">
        <v>822</v>
      </c>
      <c r="D324" t="s">
        <v>81</v>
      </c>
      <c r="E324" t="s">
        <v>134</v>
      </c>
      <c r="F324" t="s">
        <v>268</v>
      </c>
      <c r="G324" t="s">
        <v>6</v>
      </c>
      <c r="H324">
        <v>2.2999999999999998</v>
      </c>
      <c r="I324">
        <v>10</v>
      </c>
      <c r="J324">
        <v>80</v>
      </c>
      <c r="K324" t="s">
        <v>102</v>
      </c>
      <c r="L324" t="s">
        <v>43</v>
      </c>
      <c r="M324" t="s">
        <v>44</v>
      </c>
      <c r="N324">
        <v>4.7</v>
      </c>
      <c r="O324">
        <v>4.7</v>
      </c>
    </row>
    <row r="325" spans="1:15" x14ac:dyDescent="0.3">
      <c r="A325" t="s">
        <v>823</v>
      </c>
      <c r="B325" t="s">
        <v>447</v>
      </c>
      <c r="C325" t="s">
        <v>824</v>
      </c>
      <c r="D325" t="s">
        <v>75</v>
      </c>
      <c r="E325" t="s">
        <v>76</v>
      </c>
      <c r="F325" t="s">
        <v>146</v>
      </c>
      <c r="G325" t="s">
        <v>6</v>
      </c>
      <c r="H325">
        <v>7.5</v>
      </c>
      <c r="I325">
        <v>26</v>
      </c>
      <c r="J325">
        <v>180</v>
      </c>
      <c r="K325" t="s">
        <v>33</v>
      </c>
      <c r="L325" t="s">
        <v>78</v>
      </c>
      <c r="M325" t="s">
        <v>44</v>
      </c>
      <c r="N325">
        <v>4.5</v>
      </c>
      <c r="O325">
        <v>4.8</v>
      </c>
    </row>
    <row r="326" spans="1:15" x14ac:dyDescent="0.3">
      <c r="A326" t="s">
        <v>825</v>
      </c>
      <c r="B326" t="s">
        <v>197</v>
      </c>
      <c r="C326" t="s">
        <v>826</v>
      </c>
      <c r="D326" t="s">
        <v>81</v>
      </c>
      <c r="E326" t="s">
        <v>83</v>
      </c>
      <c r="F326" t="s">
        <v>82</v>
      </c>
      <c r="G326" t="s">
        <v>5</v>
      </c>
      <c r="H326">
        <v>6.2</v>
      </c>
      <c r="I326">
        <v>25</v>
      </c>
      <c r="J326">
        <v>193</v>
      </c>
      <c r="K326" t="s">
        <v>192</v>
      </c>
      <c r="L326" t="s">
        <v>64</v>
      </c>
      <c r="M326" t="s">
        <v>44</v>
      </c>
      <c r="N326">
        <v>4.5</v>
      </c>
      <c r="O326">
        <v>5</v>
      </c>
    </row>
    <row r="327" spans="1:15" x14ac:dyDescent="0.3">
      <c r="A327" t="s">
        <v>827</v>
      </c>
      <c r="B327" t="s">
        <v>727</v>
      </c>
      <c r="C327" t="s">
        <v>828</v>
      </c>
      <c r="D327" t="s">
        <v>61</v>
      </c>
      <c r="E327" t="s">
        <v>62</v>
      </c>
      <c r="F327" t="s">
        <v>63</v>
      </c>
      <c r="G327" t="s">
        <v>5</v>
      </c>
      <c r="H327">
        <v>9.6</v>
      </c>
      <c r="I327">
        <v>21</v>
      </c>
      <c r="J327">
        <v>326</v>
      </c>
      <c r="K327" t="s">
        <v>42</v>
      </c>
      <c r="L327" t="s">
        <v>71</v>
      </c>
      <c r="M327" t="s">
        <v>44</v>
      </c>
      <c r="N327">
        <v>4.7</v>
      </c>
      <c r="O327">
        <v>4.8</v>
      </c>
    </row>
    <row r="328" spans="1:15" x14ac:dyDescent="0.3">
      <c r="A328" t="s">
        <v>829</v>
      </c>
      <c r="B328" t="s">
        <v>122</v>
      </c>
      <c r="C328" t="s">
        <v>830</v>
      </c>
      <c r="D328" t="s">
        <v>68</v>
      </c>
      <c r="E328" t="s">
        <v>195</v>
      </c>
      <c r="F328" t="s">
        <v>210</v>
      </c>
      <c r="G328" t="s">
        <v>5</v>
      </c>
      <c r="H328">
        <v>22</v>
      </c>
      <c r="I328">
        <v>40</v>
      </c>
      <c r="J328">
        <v>444</v>
      </c>
      <c r="K328" t="s">
        <v>33</v>
      </c>
      <c r="L328" t="s">
        <v>161</v>
      </c>
      <c r="M328" t="s">
        <v>35</v>
      </c>
      <c r="N328">
        <v>4.4000000000000004</v>
      </c>
      <c r="O328">
        <v>5</v>
      </c>
    </row>
    <row r="329" spans="1:15" x14ac:dyDescent="0.3">
      <c r="A329" t="s">
        <v>831</v>
      </c>
      <c r="B329" t="s">
        <v>136</v>
      </c>
      <c r="C329" t="s">
        <v>832</v>
      </c>
      <c r="D329" t="s">
        <v>81</v>
      </c>
      <c r="E329" t="s">
        <v>90</v>
      </c>
      <c r="F329" t="s">
        <v>201</v>
      </c>
      <c r="G329" t="s">
        <v>6</v>
      </c>
      <c r="H329">
        <v>5.2</v>
      </c>
      <c r="I329">
        <v>7</v>
      </c>
      <c r="J329">
        <v>179</v>
      </c>
      <c r="K329" t="s">
        <v>42</v>
      </c>
      <c r="L329" t="s">
        <v>71</v>
      </c>
      <c r="M329" t="s">
        <v>44</v>
      </c>
      <c r="N329">
        <v>5</v>
      </c>
      <c r="O329">
        <v>4.9000000000000004</v>
      </c>
    </row>
    <row r="330" spans="1:15" x14ac:dyDescent="0.3">
      <c r="A330" t="s">
        <v>833</v>
      </c>
      <c r="B330" t="s">
        <v>118</v>
      </c>
      <c r="C330" t="s">
        <v>471</v>
      </c>
      <c r="D330" t="s">
        <v>106</v>
      </c>
      <c r="E330" t="s">
        <v>108</v>
      </c>
      <c r="F330" t="s">
        <v>443</v>
      </c>
      <c r="G330" t="s">
        <v>7</v>
      </c>
      <c r="H330">
        <v>15.6</v>
      </c>
      <c r="I330">
        <v>38</v>
      </c>
      <c r="J330">
        <v>494</v>
      </c>
      <c r="K330" t="s">
        <v>33</v>
      </c>
      <c r="L330" t="s">
        <v>71</v>
      </c>
      <c r="M330" t="s">
        <v>44</v>
      </c>
      <c r="N330">
        <v>5</v>
      </c>
      <c r="O330">
        <v>5</v>
      </c>
    </row>
    <row r="331" spans="1:15" x14ac:dyDescent="0.3">
      <c r="A331" t="s">
        <v>834</v>
      </c>
      <c r="B331" t="s">
        <v>276</v>
      </c>
      <c r="C331" t="s">
        <v>835</v>
      </c>
      <c r="D331" t="s">
        <v>61</v>
      </c>
      <c r="E331" t="s">
        <v>328</v>
      </c>
      <c r="F331" t="s">
        <v>191</v>
      </c>
      <c r="G331" t="s">
        <v>4</v>
      </c>
      <c r="H331">
        <v>1.6</v>
      </c>
      <c r="I331">
        <v>7</v>
      </c>
      <c r="J331">
        <v>117</v>
      </c>
      <c r="K331" t="s">
        <v>33</v>
      </c>
      <c r="L331" t="s">
        <v>78</v>
      </c>
      <c r="M331" t="s">
        <v>44</v>
      </c>
      <c r="N331">
        <v>4.5999999999999996</v>
      </c>
      <c r="O331">
        <v>4.7</v>
      </c>
    </row>
    <row r="332" spans="1:15" x14ac:dyDescent="0.3">
      <c r="A332" t="s">
        <v>836</v>
      </c>
      <c r="B332" t="s">
        <v>463</v>
      </c>
      <c r="C332" t="s">
        <v>47</v>
      </c>
      <c r="D332" t="s">
        <v>53</v>
      </c>
      <c r="E332" t="s">
        <v>54</v>
      </c>
      <c r="F332" t="s">
        <v>405</v>
      </c>
      <c r="G332" t="s">
        <v>6</v>
      </c>
      <c r="H332">
        <v>2.2000000000000002</v>
      </c>
      <c r="I332">
        <v>7</v>
      </c>
      <c r="J332">
        <v>70</v>
      </c>
      <c r="K332" t="s">
        <v>102</v>
      </c>
      <c r="L332" t="s">
        <v>49</v>
      </c>
      <c r="M332" t="s">
        <v>44</v>
      </c>
      <c r="N332">
        <v>4.7</v>
      </c>
      <c r="O332">
        <v>4.7</v>
      </c>
    </row>
    <row r="333" spans="1:15" x14ac:dyDescent="0.3">
      <c r="A333" t="s">
        <v>837</v>
      </c>
      <c r="B333" t="s">
        <v>647</v>
      </c>
      <c r="C333" t="s">
        <v>838</v>
      </c>
      <c r="D333" t="s">
        <v>75</v>
      </c>
      <c r="E333" t="s">
        <v>394</v>
      </c>
      <c r="F333" t="s">
        <v>146</v>
      </c>
      <c r="G333" t="s">
        <v>5</v>
      </c>
      <c r="H333">
        <v>22.6</v>
      </c>
      <c r="I333">
        <v>53</v>
      </c>
      <c r="J333">
        <v>522</v>
      </c>
      <c r="K333" t="s">
        <v>33</v>
      </c>
      <c r="L333" t="s">
        <v>49</v>
      </c>
      <c r="M333" t="s">
        <v>44</v>
      </c>
      <c r="N333">
        <v>4.5999999999999996</v>
      </c>
      <c r="O333">
        <v>4.8</v>
      </c>
    </row>
    <row r="334" spans="1:15" x14ac:dyDescent="0.3">
      <c r="A334" t="s">
        <v>839</v>
      </c>
      <c r="B334" t="s">
        <v>450</v>
      </c>
      <c r="C334" t="s">
        <v>428</v>
      </c>
      <c r="D334" t="s">
        <v>81</v>
      </c>
      <c r="E334" t="s">
        <v>268</v>
      </c>
      <c r="F334" t="s">
        <v>82</v>
      </c>
      <c r="G334" t="s">
        <v>6</v>
      </c>
      <c r="H334">
        <v>6.2</v>
      </c>
      <c r="I334">
        <v>20</v>
      </c>
      <c r="J334">
        <v>146</v>
      </c>
      <c r="K334" t="s">
        <v>102</v>
      </c>
      <c r="L334" t="s">
        <v>43</v>
      </c>
      <c r="M334" t="s">
        <v>44</v>
      </c>
      <c r="N334">
        <v>4.4000000000000004</v>
      </c>
      <c r="O334">
        <v>5</v>
      </c>
    </row>
    <row r="335" spans="1:15" x14ac:dyDescent="0.3">
      <c r="A335" t="s">
        <v>840</v>
      </c>
      <c r="B335" t="s">
        <v>243</v>
      </c>
      <c r="C335" t="s">
        <v>841</v>
      </c>
      <c r="D335" t="s">
        <v>53</v>
      </c>
      <c r="E335" t="s">
        <v>405</v>
      </c>
      <c r="F335" t="s">
        <v>55</v>
      </c>
      <c r="G335" t="s">
        <v>6</v>
      </c>
      <c r="H335">
        <v>7.1</v>
      </c>
      <c r="I335">
        <v>22</v>
      </c>
      <c r="J335">
        <v>157</v>
      </c>
      <c r="K335" t="s">
        <v>102</v>
      </c>
      <c r="L335" t="s">
        <v>161</v>
      </c>
      <c r="M335" t="s">
        <v>35</v>
      </c>
      <c r="N335">
        <v>4.5999999999999996</v>
      </c>
      <c r="O335">
        <v>4.9000000000000004</v>
      </c>
    </row>
    <row r="336" spans="1:15" x14ac:dyDescent="0.3">
      <c r="A336" t="s">
        <v>842</v>
      </c>
      <c r="B336" t="s">
        <v>586</v>
      </c>
      <c r="C336" t="s">
        <v>843</v>
      </c>
      <c r="D336" t="s">
        <v>81</v>
      </c>
      <c r="E336" t="s">
        <v>90</v>
      </c>
      <c r="F336" t="s">
        <v>268</v>
      </c>
      <c r="G336" t="s">
        <v>5</v>
      </c>
      <c r="H336">
        <v>4.3</v>
      </c>
      <c r="I336">
        <v>18</v>
      </c>
      <c r="J336">
        <v>159</v>
      </c>
      <c r="K336" t="s">
        <v>42</v>
      </c>
      <c r="L336" t="s">
        <v>49</v>
      </c>
      <c r="M336" t="s">
        <v>44</v>
      </c>
      <c r="N336">
        <v>4.8</v>
      </c>
      <c r="O336">
        <v>4.7</v>
      </c>
    </row>
    <row r="337" spans="1:15" x14ac:dyDescent="0.3">
      <c r="A337" t="s">
        <v>844</v>
      </c>
      <c r="B337" t="s">
        <v>309</v>
      </c>
      <c r="C337" t="s">
        <v>845</v>
      </c>
      <c r="D337" t="s">
        <v>39</v>
      </c>
      <c r="E337" t="s">
        <v>356</v>
      </c>
      <c r="F337" t="s">
        <v>484</v>
      </c>
      <c r="G337" t="s">
        <v>6</v>
      </c>
      <c r="H337">
        <v>4.0999999999999996</v>
      </c>
      <c r="I337">
        <v>18</v>
      </c>
      <c r="J337">
        <v>130</v>
      </c>
      <c r="K337" t="s">
        <v>33</v>
      </c>
      <c r="L337" t="s">
        <v>43</v>
      </c>
      <c r="M337" t="s">
        <v>44</v>
      </c>
      <c r="N337">
        <v>4.8</v>
      </c>
      <c r="O337">
        <v>4.5999999999999996</v>
      </c>
    </row>
    <row r="338" spans="1:15" x14ac:dyDescent="0.3">
      <c r="A338" t="s">
        <v>846</v>
      </c>
      <c r="B338" t="s">
        <v>447</v>
      </c>
      <c r="C338" t="s">
        <v>847</v>
      </c>
      <c r="D338" t="s">
        <v>81</v>
      </c>
      <c r="E338" t="s">
        <v>351</v>
      </c>
      <c r="F338" t="s">
        <v>83</v>
      </c>
      <c r="G338" t="s">
        <v>6</v>
      </c>
      <c r="H338">
        <v>8.8000000000000007</v>
      </c>
      <c r="I338">
        <v>22</v>
      </c>
      <c r="J338">
        <v>196</v>
      </c>
      <c r="K338" t="s">
        <v>102</v>
      </c>
      <c r="L338" t="s">
        <v>43</v>
      </c>
      <c r="M338" t="s">
        <v>44</v>
      </c>
      <c r="N338">
        <v>5</v>
      </c>
      <c r="O338">
        <v>4.5999999999999996</v>
      </c>
    </row>
    <row r="339" spans="1:15" x14ac:dyDescent="0.3">
      <c r="A339" t="s">
        <v>848</v>
      </c>
      <c r="B339" t="s">
        <v>684</v>
      </c>
      <c r="C339" t="s">
        <v>739</v>
      </c>
      <c r="D339" t="s">
        <v>53</v>
      </c>
      <c r="E339" t="s">
        <v>221</v>
      </c>
      <c r="F339" t="s">
        <v>236</v>
      </c>
      <c r="G339" t="s">
        <v>7</v>
      </c>
      <c r="H339">
        <v>2.4</v>
      </c>
      <c r="I339">
        <v>9</v>
      </c>
      <c r="J339">
        <v>166</v>
      </c>
      <c r="K339" t="s">
        <v>42</v>
      </c>
      <c r="L339" t="s">
        <v>43</v>
      </c>
      <c r="M339" t="s">
        <v>44</v>
      </c>
      <c r="N339">
        <v>4.5</v>
      </c>
      <c r="O339">
        <v>4.8</v>
      </c>
    </row>
    <row r="340" spans="1:15" x14ac:dyDescent="0.3">
      <c r="A340" t="s">
        <v>849</v>
      </c>
      <c r="B340" t="s">
        <v>177</v>
      </c>
      <c r="C340" t="s">
        <v>770</v>
      </c>
      <c r="D340" t="s">
        <v>81</v>
      </c>
      <c r="E340" t="s">
        <v>201</v>
      </c>
      <c r="F340" t="s">
        <v>82</v>
      </c>
      <c r="G340" t="s">
        <v>4</v>
      </c>
      <c r="H340">
        <v>5.8</v>
      </c>
      <c r="I340">
        <v>17</v>
      </c>
      <c r="J340">
        <v>279</v>
      </c>
      <c r="K340" t="s">
        <v>33</v>
      </c>
      <c r="L340" t="s">
        <v>43</v>
      </c>
      <c r="M340" t="s">
        <v>44</v>
      </c>
      <c r="N340">
        <v>4.5999999999999996</v>
      </c>
      <c r="O340">
        <v>4.7</v>
      </c>
    </row>
    <row r="341" spans="1:15" x14ac:dyDescent="0.3">
      <c r="A341" t="s">
        <v>850</v>
      </c>
      <c r="B341" t="s">
        <v>397</v>
      </c>
      <c r="C341" t="s">
        <v>851</v>
      </c>
      <c r="D341" t="s">
        <v>81</v>
      </c>
      <c r="E341" t="s">
        <v>83</v>
      </c>
      <c r="F341" t="s">
        <v>351</v>
      </c>
      <c r="G341" t="s">
        <v>6</v>
      </c>
      <c r="H341">
        <v>6.5</v>
      </c>
      <c r="I341">
        <v>15</v>
      </c>
      <c r="J341">
        <v>148</v>
      </c>
      <c r="K341" t="s">
        <v>33</v>
      </c>
      <c r="L341" t="s">
        <v>49</v>
      </c>
      <c r="M341" t="s">
        <v>44</v>
      </c>
      <c r="N341">
        <v>4.7</v>
      </c>
      <c r="O341">
        <v>4.8</v>
      </c>
    </row>
    <row r="342" spans="1:15" x14ac:dyDescent="0.3">
      <c r="A342" t="s">
        <v>852</v>
      </c>
      <c r="B342" t="s">
        <v>853</v>
      </c>
      <c r="C342" t="s">
        <v>854</v>
      </c>
      <c r="D342" t="s">
        <v>106</v>
      </c>
      <c r="E342" t="s">
        <v>126</v>
      </c>
      <c r="F342" t="s">
        <v>107</v>
      </c>
      <c r="G342" t="s">
        <v>6</v>
      </c>
      <c r="H342">
        <v>2.1</v>
      </c>
      <c r="I342">
        <v>7</v>
      </c>
      <c r="J342">
        <v>110</v>
      </c>
      <c r="K342" t="s">
        <v>33</v>
      </c>
      <c r="L342" t="s">
        <v>49</v>
      </c>
      <c r="M342" t="s">
        <v>44</v>
      </c>
      <c r="N342">
        <v>5</v>
      </c>
      <c r="O342">
        <v>4.9000000000000004</v>
      </c>
    </row>
    <row r="343" spans="1:15" x14ac:dyDescent="0.3">
      <c r="A343" t="s">
        <v>855</v>
      </c>
      <c r="B343" t="s">
        <v>104</v>
      </c>
      <c r="C343" t="s">
        <v>856</v>
      </c>
      <c r="D343" t="s">
        <v>158</v>
      </c>
      <c r="E343" t="s">
        <v>334</v>
      </c>
      <c r="F343" t="s">
        <v>159</v>
      </c>
      <c r="G343" t="s">
        <v>7</v>
      </c>
      <c r="H343">
        <v>4.2</v>
      </c>
      <c r="I343">
        <v>11</v>
      </c>
      <c r="J343">
        <v>226</v>
      </c>
      <c r="K343" t="s">
        <v>33</v>
      </c>
      <c r="L343" t="s">
        <v>71</v>
      </c>
      <c r="M343" t="s">
        <v>44</v>
      </c>
      <c r="N343">
        <v>5</v>
      </c>
      <c r="O343">
        <v>5</v>
      </c>
    </row>
    <row r="344" spans="1:15" x14ac:dyDescent="0.3">
      <c r="A344" t="s">
        <v>857</v>
      </c>
      <c r="B344" t="s">
        <v>531</v>
      </c>
      <c r="C344" t="s">
        <v>671</v>
      </c>
      <c r="D344" t="s">
        <v>61</v>
      </c>
      <c r="E344" t="s">
        <v>63</v>
      </c>
      <c r="F344" t="s">
        <v>191</v>
      </c>
      <c r="G344" t="s">
        <v>6</v>
      </c>
      <c r="H344">
        <v>2.2999999999999998</v>
      </c>
      <c r="I344">
        <v>13</v>
      </c>
      <c r="J344">
        <v>94</v>
      </c>
      <c r="K344" t="s">
        <v>42</v>
      </c>
      <c r="L344" t="s">
        <v>64</v>
      </c>
      <c r="M344" t="s">
        <v>44</v>
      </c>
      <c r="N344">
        <v>5</v>
      </c>
      <c r="O344">
        <v>5</v>
      </c>
    </row>
    <row r="345" spans="1:15" x14ac:dyDescent="0.3">
      <c r="A345" t="s">
        <v>858</v>
      </c>
      <c r="B345" t="s">
        <v>136</v>
      </c>
      <c r="C345" t="s">
        <v>859</v>
      </c>
      <c r="D345" t="s">
        <v>68</v>
      </c>
      <c r="E345" t="s">
        <v>69</v>
      </c>
      <c r="F345" t="s">
        <v>210</v>
      </c>
      <c r="G345" t="s">
        <v>2</v>
      </c>
      <c r="H345">
        <v>3.8</v>
      </c>
      <c r="I345">
        <v>14</v>
      </c>
      <c r="J345">
        <v>73</v>
      </c>
      <c r="K345" t="s">
        <v>33</v>
      </c>
      <c r="L345" t="s">
        <v>161</v>
      </c>
      <c r="M345" t="s">
        <v>35</v>
      </c>
      <c r="N345">
        <v>5</v>
      </c>
      <c r="O345">
        <v>4.9000000000000004</v>
      </c>
    </row>
    <row r="346" spans="1:15" x14ac:dyDescent="0.3">
      <c r="A346" t="s">
        <v>860</v>
      </c>
      <c r="B346" t="s">
        <v>122</v>
      </c>
      <c r="C346" t="s">
        <v>677</v>
      </c>
      <c r="D346" t="s">
        <v>39</v>
      </c>
      <c r="E346" t="s">
        <v>41</v>
      </c>
      <c r="F346" t="s">
        <v>278</v>
      </c>
      <c r="G346" t="s">
        <v>3</v>
      </c>
      <c r="H346">
        <v>5.5</v>
      </c>
      <c r="I346">
        <v>20</v>
      </c>
      <c r="J346">
        <v>334</v>
      </c>
      <c r="K346" t="s">
        <v>33</v>
      </c>
      <c r="L346" t="s">
        <v>64</v>
      </c>
      <c r="M346" t="s">
        <v>44</v>
      </c>
      <c r="N346">
        <v>4.5</v>
      </c>
      <c r="O346">
        <v>4.5</v>
      </c>
    </row>
    <row r="347" spans="1:15" x14ac:dyDescent="0.3">
      <c r="A347" t="s">
        <v>861</v>
      </c>
      <c r="B347" t="s">
        <v>397</v>
      </c>
      <c r="C347" t="s">
        <v>862</v>
      </c>
      <c r="D347" t="s">
        <v>68</v>
      </c>
      <c r="E347" t="s">
        <v>120</v>
      </c>
      <c r="F347" t="s">
        <v>130</v>
      </c>
      <c r="G347" t="s">
        <v>5</v>
      </c>
      <c r="H347">
        <v>12.6</v>
      </c>
      <c r="I347">
        <v>24</v>
      </c>
      <c r="J347">
        <v>326</v>
      </c>
      <c r="K347" t="s">
        <v>102</v>
      </c>
      <c r="L347" t="s">
        <v>78</v>
      </c>
      <c r="M347" t="s">
        <v>44</v>
      </c>
      <c r="N347">
        <v>4.5999999999999996</v>
      </c>
      <c r="O347">
        <v>5</v>
      </c>
    </row>
    <row r="348" spans="1:15" x14ac:dyDescent="0.3">
      <c r="A348" t="s">
        <v>863</v>
      </c>
      <c r="B348" t="s">
        <v>189</v>
      </c>
      <c r="C348" t="s">
        <v>864</v>
      </c>
      <c r="D348" t="s">
        <v>39</v>
      </c>
      <c r="E348" t="s">
        <v>40</v>
      </c>
      <c r="F348" t="s">
        <v>278</v>
      </c>
      <c r="G348" t="s">
        <v>6</v>
      </c>
      <c r="H348">
        <v>11.8</v>
      </c>
      <c r="I348">
        <v>30</v>
      </c>
      <c r="J348">
        <v>248</v>
      </c>
      <c r="K348" t="s">
        <v>42</v>
      </c>
      <c r="L348" t="s">
        <v>49</v>
      </c>
      <c r="M348" t="s">
        <v>44</v>
      </c>
      <c r="N348">
        <v>4.5</v>
      </c>
      <c r="O348">
        <v>4.7</v>
      </c>
    </row>
    <row r="349" spans="1:15" x14ac:dyDescent="0.3">
      <c r="A349" t="s">
        <v>865</v>
      </c>
      <c r="B349" t="s">
        <v>441</v>
      </c>
      <c r="C349" t="s">
        <v>704</v>
      </c>
      <c r="D349" t="s">
        <v>68</v>
      </c>
      <c r="E349" t="s">
        <v>210</v>
      </c>
      <c r="F349" t="s">
        <v>130</v>
      </c>
      <c r="G349" t="s">
        <v>4</v>
      </c>
      <c r="H349">
        <v>1.6</v>
      </c>
      <c r="I349">
        <v>5</v>
      </c>
      <c r="J349">
        <v>102</v>
      </c>
      <c r="K349" t="s">
        <v>33</v>
      </c>
      <c r="L349" t="s">
        <v>43</v>
      </c>
      <c r="M349" t="s">
        <v>44</v>
      </c>
      <c r="N349">
        <v>4.4000000000000004</v>
      </c>
      <c r="O349">
        <v>4.9000000000000004</v>
      </c>
    </row>
    <row r="350" spans="1:15" x14ac:dyDescent="0.3">
      <c r="A350" t="s">
        <v>866</v>
      </c>
      <c r="B350" t="s">
        <v>170</v>
      </c>
      <c r="C350" t="s">
        <v>867</v>
      </c>
      <c r="D350" t="s">
        <v>75</v>
      </c>
      <c r="E350" t="s">
        <v>146</v>
      </c>
      <c r="F350" t="s">
        <v>313</v>
      </c>
      <c r="G350" t="s">
        <v>4</v>
      </c>
      <c r="H350">
        <v>7.6</v>
      </c>
      <c r="I350">
        <v>21</v>
      </c>
      <c r="J350">
        <v>327</v>
      </c>
      <c r="K350" t="s">
        <v>102</v>
      </c>
      <c r="L350" t="s">
        <v>71</v>
      </c>
      <c r="M350" t="s">
        <v>44</v>
      </c>
      <c r="N350">
        <v>5</v>
      </c>
      <c r="O350">
        <v>4.8</v>
      </c>
    </row>
    <row r="351" spans="1:15" x14ac:dyDescent="0.3">
      <c r="A351" t="s">
        <v>868</v>
      </c>
      <c r="B351" t="s">
        <v>727</v>
      </c>
      <c r="C351" t="s">
        <v>869</v>
      </c>
      <c r="D351" t="s">
        <v>61</v>
      </c>
      <c r="E351" t="s">
        <v>62</v>
      </c>
      <c r="F351" t="s">
        <v>96</v>
      </c>
      <c r="G351" t="s">
        <v>4</v>
      </c>
      <c r="H351">
        <v>5.9</v>
      </c>
      <c r="I351">
        <v>15</v>
      </c>
      <c r="J351">
        <v>290</v>
      </c>
      <c r="K351" t="s">
        <v>102</v>
      </c>
      <c r="L351" t="s">
        <v>43</v>
      </c>
      <c r="M351" t="s">
        <v>44</v>
      </c>
      <c r="N351">
        <v>4.8</v>
      </c>
      <c r="O351">
        <v>5</v>
      </c>
    </row>
    <row r="352" spans="1:15" x14ac:dyDescent="0.3">
      <c r="A352" t="s">
        <v>870</v>
      </c>
      <c r="B352" t="s">
        <v>200</v>
      </c>
      <c r="C352" t="s">
        <v>871</v>
      </c>
      <c r="D352" t="s">
        <v>39</v>
      </c>
      <c r="E352" t="s">
        <v>41</v>
      </c>
      <c r="F352" t="s">
        <v>155</v>
      </c>
      <c r="G352" t="s">
        <v>2</v>
      </c>
      <c r="H352">
        <v>7.7</v>
      </c>
      <c r="I352">
        <v>27</v>
      </c>
      <c r="J352">
        <v>160</v>
      </c>
      <c r="K352" t="s">
        <v>102</v>
      </c>
      <c r="L352" t="s">
        <v>71</v>
      </c>
      <c r="M352" t="s">
        <v>44</v>
      </c>
      <c r="N352">
        <v>4.8</v>
      </c>
      <c r="O352">
        <v>4.7</v>
      </c>
    </row>
    <row r="353" spans="1:15" x14ac:dyDescent="0.3">
      <c r="A353" t="s">
        <v>872</v>
      </c>
      <c r="B353" t="s">
        <v>128</v>
      </c>
      <c r="C353" t="s">
        <v>341</v>
      </c>
      <c r="D353" t="s">
        <v>39</v>
      </c>
      <c r="E353" t="s">
        <v>278</v>
      </c>
      <c r="F353" t="s">
        <v>40</v>
      </c>
      <c r="G353" t="s">
        <v>6</v>
      </c>
      <c r="H353">
        <v>3.2</v>
      </c>
      <c r="I353">
        <v>19</v>
      </c>
      <c r="J353">
        <v>126</v>
      </c>
      <c r="K353" t="s">
        <v>42</v>
      </c>
      <c r="L353" t="s">
        <v>78</v>
      </c>
      <c r="M353" t="s">
        <v>44</v>
      </c>
      <c r="N353">
        <v>5</v>
      </c>
      <c r="O353">
        <v>5</v>
      </c>
    </row>
    <row r="354" spans="1:15" x14ac:dyDescent="0.3">
      <c r="A354" t="s">
        <v>873</v>
      </c>
      <c r="B354" t="s">
        <v>400</v>
      </c>
      <c r="C354" t="s">
        <v>874</v>
      </c>
      <c r="D354" t="s">
        <v>61</v>
      </c>
      <c r="E354" t="s">
        <v>191</v>
      </c>
      <c r="F354" t="s">
        <v>116</v>
      </c>
      <c r="G354" t="s">
        <v>5</v>
      </c>
      <c r="H354">
        <v>5.0999999999999996</v>
      </c>
      <c r="I354">
        <v>16</v>
      </c>
      <c r="J354">
        <v>167</v>
      </c>
      <c r="K354" t="s">
        <v>33</v>
      </c>
      <c r="L354" t="s">
        <v>43</v>
      </c>
      <c r="M354" t="s">
        <v>44</v>
      </c>
      <c r="N354">
        <v>4.9000000000000004</v>
      </c>
      <c r="O354">
        <v>4.7</v>
      </c>
    </row>
    <row r="355" spans="1:15" x14ac:dyDescent="0.3">
      <c r="A355" t="s">
        <v>875</v>
      </c>
      <c r="B355" t="s">
        <v>276</v>
      </c>
      <c r="C355" t="s">
        <v>456</v>
      </c>
      <c r="D355" t="s">
        <v>61</v>
      </c>
      <c r="E355" t="s">
        <v>191</v>
      </c>
      <c r="F355" t="s">
        <v>63</v>
      </c>
      <c r="G355" t="s">
        <v>6</v>
      </c>
      <c r="H355">
        <v>6.2</v>
      </c>
      <c r="I355">
        <v>18</v>
      </c>
      <c r="J355">
        <v>161</v>
      </c>
      <c r="K355" t="s">
        <v>33</v>
      </c>
      <c r="L355" t="s">
        <v>161</v>
      </c>
      <c r="M355" t="s">
        <v>35</v>
      </c>
      <c r="N355">
        <v>4.7</v>
      </c>
      <c r="O355">
        <v>5</v>
      </c>
    </row>
    <row r="356" spans="1:15" x14ac:dyDescent="0.3">
      <c r="A356" t="s">
        <v>876</v>
      </c>
      <c r="B356" t="s">
        <v>410</v>
      </c>
      <c r="C356" t="s">
        <v>295</v>
      </c>
      <c r="D356" t="s">
        <v>68</v>
      </c>
      <c r="E356" t="s">
        <v>210</v>
      </c>
      <c r="F356" t="s">
        <v>195</v>
      </c>
      <c r="G356" t="s">
        <v>2</v>
      </c>
      <c r="H356">
        <v>16.899999999999999</v>
      </c>
      <c r="I356">
        <v>30</v>
      </c>
      <c r="J356">
        <v>288</v>
      </c>
      <c r="K356" t="s">
        <v>102</v>
      </c>
      <c r="L356" t="s">
        <v>43</v>
      </c>
      <c r="M356" t="s">
        <v>44</v>
      </c>
      <c r="N356">
        <v>4.8</v>
      </c>
      <c r="O356">
        <v>4.7</v>
      </c>
    </row>
    <row r="357" spans="1:15" x14ac:dyDescent="0.3">
      <c r="A357" t="s">
        <v>877</v>
      </c>
      <c r="B357" t="s">
        <v>128</v>
      </c>
      <c r="C357" t="s">
        <v>164</v>
      </c>
      <c r="D357" t="s">
        <v>53</v>
      </c>
      <c r="E357" t="s">
        <v>54</v>
      </c>
      <c r="F357" t="s">
        <v>515</v>
      </c>
      <c r="G357" t="s">
        <v>6</v>
      </c>
      <c r="H357">
        <v>6.9</v>
      </c>
      <c r="I357">
        <v>24</v>
      </c>
      <c r="J357">
        <v>197</v>
      </c>
      <c r="K357" t="s">
        <v>33</v>
      </c>
      <c r="L357" t="s">
        <v>49</v>
      </c>
      <c r="M357" t="s">
        <v>44</v>
      </c>
      <c r="N357">
        <v>4.7</v>
      </c>
      <c r="O357">
        <v>4.7</v>
      </c>
    </row>
    <row r="358" spans="1:15" x14ac:dyDescent="0.3">
      <c r="A358" t="s">
        <v>878</v>
      </c>
      <c r="B358" t="s">
        <v>303</v>
      </c>
      <c r="C358" t="s">
        <v>779</v>
      </c>
      <c r="D358" t="s">
        <v>53</v>
      </c>
      <c r="E358" t="s">
        <v>236</v>
      </c>
      <c r="F358" t="s">
        <v>405</v>
      </c>
      <c r="G358" t="s">
        <v>2</v>
      </c>
      <c r="H358">
        <v>3.7</v>
      </c>
      <c r="I358">
        <v>7</v>
      </c>
      <c r="J358">
        <v>94</v>
      </c>
      <c r="K358" t="s">
        <v>56</v>
      </c>
      <c r="L358" t="s">
        <v>64</v>
      </c>
      <c r="M358" t="s">
        <v>44</v>
      </c>
      <c r="N358">
        <v>4.7</v>
      </c>
      <c r="O358">
        <v>4.7</v>
      </c>
    </row>
    <row r="359" spans="1:15" x14ac:dyDescent="0.3">
      <c r="A359" t="s">
        <v>879</v>
      </c>
      <c r="B359" t="s">
        <v>373</v>
      </c>
      <c r="C359" t="s">
        <v>880</v>
      </c>
      <c r="D359" t="s">
        <v>53</v>
      </c>
      <c r="E359" t="s">
        <v>221</v>
      </c>
      <c r="F359" t="s">
        <v>54</v>
      </c>
      <c r="G359" t="s">
        <v>6</v>
      </c>
      <c r="H359">
        <v>2.2000000000000002</v>
      </c>
      <c r="I359">
        <v>5</v>
      </c>
      <c r="J359">
        <v>96</v>
      </c>
      <c r="K359" t="s">
        <v>102</v>
      </c>
      <c r="L359" t="s">
        <v>64</v>
      </c>
      <c r="M359" t="s">
        <v>44</v>
      </c>
      <c r="N359">
        <v>4.5999999999999996</v>
      </c>
      <c r="O359">
        <v>4.7</v>
      </c>
    </row>
    <row r="360" spans="1:15" x14ac:dyDescent="0.3">
      <c r="A360" t="s">
        <v>881</v>
      </c>
      <c r="B360" t="s">
        <v>853</v>
      </c>
      <c r="C360" t="s">
        <v>882</v>
      </c>
      <c r="D360" t="s">
        <v>81</v>
      </c>
      <c r="E360" t="s">
        <v>90</v>
      </c>
      <c r="F360" t="s">
        <v>91</v>
      </c>
      <c r="G360" t="s">
        <v>3</v>
      </c>
      <c r="H360">
        <v>1</v>
      </c>
      <c r="I360">
        <v>6</v>
      </c>
      <c r="J360">
        <v>226</v>
      </c>
      <c r="K360" t="s">
        <v>375</v>
      </c>
      <c r="L360" t="s">
        <v>71</v>
      </c>
      <c r="M360" t="s">
        <v>44</v>
      </c>
      <c r="N360">
        <v>4.8</v>
      </c>
      <c r="O360">
        <v>4.5</v>
      </c>
    </row>
    <row r="361" spans="1:15" x14ac:dyDescent="0.3">
      <c r="A361" t="s">
        <v>883</v>
      </c>
      <c r="B361" t="s">
        <v>629</v>
      </c>
      <c r="C361" t="s">
        <v>884</v>
      </c>
      <c r="D361" t="s">
        <v>75</v>
      </c>
      <c r="E361" t="s">
        <v>578</v>
      </c>
      <c r="F361" t="s">
        <v>313</v>
      </c>
      <c r="G361" t="s">
        <v>4</v>
      </c>
      <c r="H361">
        <v>1.8</v>
      </c>
      <c r="I361">
        <v>5</v>
      </c>
      <c r="J361">
        <v>129</v>
      </c>
      <c r="K361" t="s">
        <v>33</v>
      </c>
      <c r="L361" t="s">
        <v>64</v>
      </c>
      <c r="M361" t="s">
        <v>44</v>
      </c>
      <c r="N361">
        <v>4.5</v>
      </c>
      <c r="O361">
        <v>4.4000000000000004</v>
      </c>
    </row>
    <row r="362" spans="1:15" x14ac:dyDescent="0.3">
      <c r="A362" t="s">
        <v>885</v>
      </c>
      <c r="B362" t="s">
        <v>136</v>
      </c>
      <c r="C362" t="s">
        <v>886</v>
      </c>
      <c r="D362" t="s">
        <v>30</v>
      </c>
      <c r="E362" t="s">
        <v>142</v>
      </c>
      <c r="F362" t="s">
        <v>112</v>
      </c>
      <c r="G362" t="s">
        <v>5</v>
      </c>
      <c r="H362">
        <v>9.1</v>
      </c>
      <c r="I362">
        <v>31</v>
      </c>
      <c r="J362">
        <v>286</v>
      </c>
      <c r="K362" t="s">
        <v>42</v>
      </c>
      <c r="L362" t="s">
        <v>71</v>
      </c>
      <c r="M362" t="s">
        <v>44</v>
      </c>
      <c r="N362">
        <v>4.5</v>
      </c>
      <c r="O362">
        <v>4.7</v>
      </c>
    </row>
    <row r="363" spans="1:15" x14ac:dyDescent="0.3">
      <c r="A363" t="s">
        <v>887</v>
      </c>
      <c r="B363" t="s">
        <v>422</v>
      </c>
      <c r="C363" t="s">
        <v>229</v>
      </c>
      <c r="D363" t="s">
        <v>61</v>
      </c>
      <c r="E363" t="s">
        <v>62</v>
      </c>
      <c r="F363" t="s">
        <v>95</v>
      </c>
      <c r="G363" t="s">
        <v>2</v>
      </c>
      <c r="H363">
        <v>5.9</v>
      </c>
      <c r="I363">
        <v>16</v>
      </c>
      <c r="J363">
        <v>125</v>
      </c>
      <c r="K363" t="s">
        <v>33</v>
      </c>
      <c r="L363" t="s">
        <v>78</v>
      </c>
      <c r="M363" t="s">
        <v>44</v>
      </c>
      <c r="N363">
        <v>4.5999999999999996</v>
      </c>
      <c r="O363">
        <v>4.9000000000000004</v>
      </c>
    </row>
    <row r="364" spans="1:15" x14ac:dyDescent="0.3">
      <c r="A364" t="s">
        <v>888</v>
      </c>
      <c r="B364" t="s">
        <v>349</v>
      </c>
      <c r="C364" t="s">
        <v>889</v>
      </c>
      <c r="D364" t="s">
        <v>81</v>
      </c>
      <c r="E364" t="s">
        <v>82</v>
      </c>
      <c r="F364" t="s">
        <v>351</v>
      </c>
      <c r="G364" t="s">
        <v>5</v>
      </c>
      <c r="H364">
        <v>5.4</v>
      </c>
      <c r="I364">
        <v>13</v>
      </c>
      <c r="J364">
        <v>207</v>
      </c>
      <c r="K364" t="s">
        <v>33</v>
      </c>
      <c r="L364" t="s">
        <v>71</v>
      </c>
      <c r="M364" t="s">
        <v>44</v>
      </c>
      <c r="N364">
        <v>4.5</v>
      </c>
      <c r="O364">
        <v>4.5</v>
      </c>
    </row>
    <row r="365" spans="1:15" x14ac:dyDescent="0.3">
      <c r="A365" t="s">
        <v>890</v>
      </c>
      <c r="B365" t="s">
        <v>110</v>
      </c>
      <c r="C365" t="s">
        <v>517</v>
      </c>
      <c r="D365" t="s">
        <v>81</v>
      </c>
      <c r="E365" t="s">
        <v>201</v>
      </c>
      <c r="F365" t="s">
        <v>351</v>
      </c>
      <c r="G365" t="s">
        <v>4</v>
      </c>
      <c r="H365">
        <v>4.4000000000000004</v>
      </c>
      <c r="I365">
        <v>8</v>
      </c>
      <c r="J365">
        <v>231</v>
      </c>
      <c r="K365" t="s">
        <v>33</v>
      </c>
      <c r="L365" t="s">
        <v>64</v>
      </c>
      <c r="M365" t="s">
        <v>44</v>
      </c>
      <c r="N365">
        <v>4.8</v>
      </c>
      <c r="O365">
        <v>4.5999999999999996</v>
      </c>
    </row>
    <row r="366" spans="1:15" x14ac:dyDescent="0.3">
      <c r="A366" t="s">
        <v>891</v>
      </c>
      <c r="B366" t="s">
        <v>122</v>
      </c>
      <c r="C366" t="s">
        <v>892</v>
      </c>
      <c r="D366" t="s">
        <v>53</v>
      </c>
      <c r="E366" t="s">
        <v>405</v>
      </c>
      <c r="F366" t="s">
        <v>236</v>
      </c>
      <c r="G366" t="s">
        <v>6</v>
      </c>
      <c r="H366">
        <v>7</v>
      </c>
      <c r="I366">
        <v>14</v>
      </c>
      <c r="J366">
        <v>152</v>
      </c>
      <c r="K366" t="s">
        <v>33</v>
      </c>
      <c r="L366" t="s">
        <v>57</v>
      </c>
      <c r="M366" t="s">
        <v>35</v>
      </c>
      <c r="N366">
        <v>4.8</v>
      </c>
      <c r="O366">
        <v>4.8</v>
      </c>
    </row>
    <row r="367" spans="1:15" x14ac:dyDescent="0.3">
      <c r="A367" t="s">
        <v>893</v>
      </c>
      <c r="B367" t="s">
        <v>330</v>
      </c>
      <c r="C367" t="s">
        <v>347</v>
      </c>
      <c r="D367" t="s">
        <v>158</v>
      </c>
      <c r="E367" t="s">
        <v>316</v>
      </c>
      <c r="F367" t="s">
        <v>283</v>
      </c>
      <c r="G367" t="s">
        <v>5</v>
      </c>
      <c r="H367">
        <v>15.1</v>
      </c>
      <c r="I367">
        <v>35</v>
      </c>
      <c r="J367">
        <v>331</v>
      </c>
      <c r="K367" t="s">
        <v>33</v>
      </c>
      <c r="L367" t="s">
        <v>64</v>
      </c>
      <c r="M367" t="s">
        <v>44</v>
      </c>
      <c r="N367">
        <v>4.8</v>
      </c>
      <c r="O367">
        <v>4.8</v>
      </c>
    </row>
    <row r="368" spans="1:15" x14ac:dyDescent="0.3">
      <c r="A368" t="s">
        <v>894</v>
      </c>
      <c r="B368" t="s">
        <v>689</v>
      </c>
      <c r="C368" t="s">
        <v>643</v>
      </c>
      <c r="D368" t="s">
        <v>106</v>
      </c>
      <c r="E368" t="s">
        <v>108</v>
      </c>
      <c r="F368" t="s">
        <v>107</v>
      </c>
      <c r="G368" t="s">
        <v>2</v>
      </c>
      <c r="H368">
        <v>2.7</v>
      </c>
      <c r="I368">
        <v>5</v>
      </c>
      <c r="J368">
        <v>75</v>
      </c>
      <c r="K368" t="s">
        <v>102</v>
      </c>
      <c r="L368" t="s">
        <v>43</v>
      </c>
      <c r="M368" t="s">
        <v>44</v>
      </c>
      <c r="N368">
        <v>4.5</v>
      </c>
      <c r="O368">
        <v>4.5999999999999996</v>
      </c>
    </row>
    <row r="369" spans="1:15" x14ac:dyDescent="0.3">
      <c r="A369" t="s">
        <v>895</v>
      </c>
      <c r="B369" t="s">
        <v>453</v>
      </c>
      <c r="C369" t="s">
        <v>896</v>
      </c>
      <c r="D369" t="s">
        <v>106</v>
      </c>
      <c r="E369" t="s">
        <v>108</v>
      </c>
      <c r="F369" t="s">
        <v>107</v>
      </c>
      <c r="G369" t="s">
        <v>6</v>
      </c>
      <c r="H369">
        <v>4.5</v>
      </c>
      <c r="I369">
        <v>13</v>
      </c>
      <c r="J369">
        <v>132</v>
      </c>
      <c r="K369" t="s">
        <v>102</v>
      </c>
      <c r="L369" t="s">
        <v>78</v>
      </c>
      <c r="M369" t="s">
        <v>44</v>
      </c>
      <c r="N369">
        <v>4.4000000000000004</v>
      </c>
      <c r="O369">
        <v>4.7</v>
      </c>
    </row>
    <row r="370" spans="1:15" x14ac:dyDescent="0.3">
      <c r="A370" t="s">
        <v>897</v>
      </c>
      <c r="B370" t="s">
        <v>197</v>
      </c>
      <c r="C370" t="s">
        <v>822</v>
      </c>
      <c r="D370" t="s">
        <v>39</v>
      </c>
      <c r="E370" t="s">
        <v>154</v>
      </c>
      <c r="F370" t="s">
        <v>155</v>
      </c>
      <c r="G370" t="s">
        <v>2</v>
      </c>
      <c r="H370">
        <v>3.7</v>
      </c>
      <c r="I370">
        <v>13</v>
      </c>
      <c r="J370">
        <v>72</v>
      </c>
      <c r="K370" t="s">
        <v>33</v>
      </c>
      <c r="L370" t="s">
        <v>43</v>
      </c>
      <c r="M370" t="s">
        <v>44</v>
      </c>
      <c r="N370">
        <v>4.8</v>
      </c>
      <c r="O370">
        <v>4.8</v>
      </c>
    </row>
    <row r="371" spans="1:15" x14ac:dyDescent="0.3">
      <c r="A371" t="s">
        <v>898</v>
      </c>
      <c r="B371" t="s">
        <v>148</v>
      </c>
      <c r="C371" t="s">
        <v>899</v>
      </c>
      <c r="D371" t="s">
        <v>68</v>
      </c>
      <c r="E371" t="s">
        <v>150</v>
      </c>
      <c r="F371" t="s">
        <v>130</v>
      </c>
      <c r="G371" t="s">
        <v>4</v>
      </c>
      <c r="H371">
        <v>12.6</v>
      </c>
      <c r="I371">
        <v>29</v>
      </c>
      <c r="J371">
        <v>406</v>
      </c>
      <c r="K371" t="s">
        <v>192</v>
      </c>
      <c r="L371" t="s">
        <v>64</v>
      </c>
      <c r="M371" t="s">
        <v>44</v>
      </c>
      <c r="N371">
        <v>4.3</v>
      </c>
      <c r="O371">
        <v>4.7</v>
      </c>
    </row>
    <row r="372" spans="1:15" x14ac:dyDescent="0.3">
      <c r="A372" t="s">
        <v>900</v>
      </c>
      <c r="B372" t="s">
        <v>181</v>
      </c>
      <c r="C372" t="s">
        <v>901</v>
      </c>
      <c r="D372" t="s">
        <v>158</v>
      </c>
      <c r="E372" t="s">
        <v>316</v>
      </c>
      <c r="F372" t="s">
        <v>160</v>
      </c>
      <c r="G372" t="s">
        <v>5</v>
      </c>
      <c r="H372">
        <v>14.1</v>
      </c>
      <c r="I372">
        <v>34</v>
      </c>
      <c r="J372">
        <v>346</v>
      </c>
      <c r="K372" t="s">
        <v>33</v>
      </c>
      <c r="L372" t="s">
        <v>78</v>
      </c>
      <c r="M372" t="s">
        <v>44</v>
      </c>
      <c r="N372">
        <v>4.7</v>
      </c>
      <c r="O372">
        <v>5</v>
      </c>
    </row>
    <row r="373" spans="1:15" x14ac:dyDescent="0.3">
      <c r="A373" t="s">
        <v>902</v>
      </c>
      <c r="B373" t="s">
        <v>684</v>
      </c>
      <c r="C373" t="s">
        <v>903</v>
      </c>
      <c r="D373" t="s">
        <v>68</v>
      </c>
      <c r="E373" t="s">
        <v>69</v>
      </c>
      <c r="F373" t="s">
        <v>195</v>
      </c>
      <c r="G373" t="s">
        <v>6</v>
      </c>
      <c r="H373">
        <v>10.5</v>
      </c>
      <c r="I373">
        <v>21</v>
      </c>
      <c r="J373">
        <v>236</v>
      </c>
      <c r="K373" t="s">
        <v>42</v>
      </c>
      <c r="L373" t="s">
        <v>49</v>
      </c>
      <c r="M373" t="s">
        <v>44</v>
      </c>
      <c r="N373">
        <v>4.2</v>
      </c>
      <c r="O373">
        <v>4.7</v>
      </c>
    </row>
    <row r="374" spans="1:15" x14ac:dyDescent="0.3">
      <c r="A374" t="s">
        <v>904</v>
      </c>
      <c r="B374" t="s">
        <v>66</v>
      </c>
      <c r="C374" t="s">
        <v>905</v>
      </c>
      <c r="D374" t="s">
        <v>68</v>
      </c>
      <c r="E374" t="s">
        <v>70</v>
      </c>
      <c r="F374" t="s">
        <v>195</v>
      </c>
      <c r="G374" t="s">
        <v>4</v>
      </c>
      <c r="H374">
        <v>12.6</v>
      </c>
      <c r="I374">
        <v>23</v>
      </c>
      <c r="J374">
        <v>365</v>
      </c>
      <c r="K374" t="s">
        <v>42</v>
      </c>
      <c r="L374" t="s">
        <v>78</v>
      </c>
      <c r="M374" t="s">
        <v>44</v>
      </c>
      <c r="N374">
        <v>4.5999999999999996</v>
      </c>
      <c r="O374">
        <v>5</v>
      </c>
    </row>
    <row r="375" spans="1:15" x14ac:dyDescent="0.3">
      <c r="A375" t="s">
        <v>906</v>
      </c>
      <c r="B375" t="s">
        <v>254</v>
      </c>
      <c r="C375" t="s">
        <v>907</v>
      </c>
      <c r="D375" t="s">
        <v>30</v>
      </c>
      <c r="E375" t="s">
        <v>138</v>
      </c>
      <c r="F375" t="s">
        <v>100</v>
      </c>
      <c r="G375" t="s">
        <v>2</v>
      </c>
      <c r="H375">
        <v>5.2</v>
      </c>
      <c r="I375">
        <v>26</v>
      </c>
      <c r="J375">
        <v>90</v>
      </c>
      <c r="K375" t="s">
        <v>102</v>
      </c>
      <c r="L375" t="s">
        <v>78</v>
      </c>
      <c r="M375" t="s">
        <v>44</v>
      </c>
      <c r="N375">
        <v>4.7</v>
      </c>
      <c r="O375">
        <v>4.8</v>
      </c>
    </row>
    <row r="376" spans="1:15" x14ac:dyDescent="0.3">
      <c r="A376" t="s">
        <v>908</v>
      </c>
      <c r="B376" t="s">
        <v>177</v>
      </c>
      <c r="C376" t="s">
        <v>909</v>
      </c>
      <c r="D376" t="s">
        <v>68</v>
      </c>
      <c r="E376" t="s">
        <v>210</v>
      </c>
      <c r="F376" t="s">
        <v>195</v>
      </c>
      <c r="G376" t="s">
        <v>4</v>
      </c>
      <c r="H376">
        <v>9.5</v>
      </c>
      <c r="I376">
        <v>22</v>
      </c>
      <c r="J376">
        <v>262</v>
      </c>
      <c r="K376" t="s">
        <v>42</v>
      </c>
      <c r="L376" t="s">
        <v>49</v>
      </c>
      <c r="M376" t="s">
        <v>44</v>
      </c>
      <c r="N376">
        <v>4.9000000000000004</v>
      </c>
      <c r="O376">
        <v>4.5999999999999996</v>
      </c>
    </row>
    <row r="377" spans="1:15" x14ac:dyDescent="0.3">
      <c r="A377" t="s">
        <v>910</v>
      </c>
      <c r="B377" t="s">
        <v>118</v>
      </c>
      <c r="C377" t="s">
        <v>911</v>
      </c>
      <c r="D377" t="s">
        <v>81</v>
      </c>
      <c r="E377" t="s">
        <v>91</v>
      </c>
      <c r="F377" t="s">
        <v>83</v>
      </c>
      <c r="G377" t="s">
        <v>4</v>
      </c>
      <c r="H377">
        <v>16.8</v>
      </c>
      <c r="I377">
        <v>38</v>
      </c>
      <c r="J377">
        <v>493</v>
      </c>
      <c r="K377" t="s">
        <v>42</v>
      </c>
      <c r="L377" t="s">
        <v>64</v>
      </c>
      <c r="M377" t="s">
        <v>44</v>
      </c>
      <c r="N377">
        <v>4.4000000000000004</v>
      </c>
      <c r="O377">
        <v>4.7</v>
      </c>
    </row>
    <row r="378" spans="1:15" x14ac:dyDescent="0.3">
      <c r="A378" t="s">
        <v>912</v>
      </c>
      <c r="B378" t="s">
        <v>166</v>
      </c>
      <c r="C378" t="s">
        <v>913</v>
      </c>
      <c r="D378" t="s">
        <v>81</v>
      </c>
      <c r="E378" t="s">
        <v>268</v>
      </c>
      <c r="F378" t="s">
        <v>134</v>
      </c>
      <c r="G378" t="s">
        <v>6</v>
      </c>
      <c r="H378">
        <v>3.5</v>
      </c>
      <c r="I378">
        <v>13</v>
      </c>
      <c r="J378">
        <v>108</v>
      </c>
      <c r="K378" t="s">
        <v>42</v>
      </c>
      <c r="L378" t="s">
        <v>43</v>
      </c>
      <c r="M378" t="s">
        <v>44</v>
      </c>
      <c r="N378">
        <v>4.4000000000000004</v>
      </c>
      <c r="O378">
        <v>4.7</v>
      </c>
    </row>
    <row r="379" spans="1:15" x14ac:dyDescent="0.3">
      <c r="A379" t="s">
        <v>914</v>
      </c>
      <c r="B379" t="s">
        <v>286</v>
      </c>
      <c r="C379" t="s">
        <v>915</v>
      </c>
      <c r="D379" t="s">
        <v>81</v>
      </c>
      <c r="E379" t="s">
        <v>91</v>
      </c>
      <c r="F379" t="s">
        <v>268</v>
      </c>
      <c r="G379" t="s">
        <v>2</v>
      </c>
      <c r="H379">
        <v>6.5</v>
      </c>
      <c r="I379">
        <v>9</v>
      </c>
      <c r="J379">
        <v>113</v>
      </c>
      <c r="K379" t="s">
        <v>33</v>
      </c>
      <c r="L379" t="s">
        <v>78</v>
      </c>
      <c r="M379" t="s">
        <v>44</v>
      </c>
      <c r="N379">
        <v>4.9000000000000004</v>
      </c>
      <c r="O379">
        <v>4.7</v>
      </c>
    </row>
    <row r="380" spans="1:15" x14ac:dyDescent="0.3">
      <c r="A380" t="s">
        <v>916</v>
      </c>
      <c r="B380" t="s">
        <v>463</v>
      </c>
      <c r="C380" t="s">
        <v>917</v>
      </c>
      <c r="D380" t="s">
        <v>81</v>
      </c>
      <c r="E380" t="s">
        <v>201</v>
      </c>
      <c r="F380" t="s">
        <v>268</v>
      </c>
      <c r="G380" t="s">
        <v>7</v>
      </c>
      <c r="H380">
        <v>8.4</v>
      </c>
      <c r="I380">
        <v>24</v>
      </c>
      <c r="J380">
        <v>269</v>
      </c>
      <c r="K380" t="s">
        <v>102</v>
      </c>
      <c r="L380" t="s">
        <v>78</v>
      </c>
      <c r="M380" t="s">
        <v>44</v>
      </c>
      <c r="N380">
        <v>4.7</v>
      </c>
      <c r="O380">
        <v>4.8</v>
      </c>
    </row>
    <row r="381" spans="1:15" x14ac:dyDescent="0.3">
      <c r="A381" t="s">
        <v>918</v>
      </c>
      <c r="B381" t="s">
        <v>370</v>
      </c>
      <c r="C381" t="s">
        <v>368</v>
      </c>
      <c r="D381" t="s">
        <v>39</v>
      </c>
      <c r="E381" t="s">
        <v>41</v>
      </c>
      <c r="F381" t="s">
        <v>40</v>
      </c>
      <c r="G381" t="s">
        <v>7</v>
      </c>
      <c r="H381">
        <v>5.4</v>
      </c>
      <c r="I381">
        <v>28</v>
      </c>
      <c r="J381">
        <v>198</v>
      </c>
      <c r="K381" t="s">
        <v>33</v>
      </c>
      <c r="L381" t="s">
        <v>78</v>
      </c>
      <c r="M381" t="s">
        <v>44</v>
      </c>
      <c r="N381">
        <v>4.5999999999999996</v>
      </c>
      <c r="O381">
        <v>5</v>
      </c>
    </row>
    <row r="382" spans="1:15" x14ac:dyDescent="0.3">
      <c r="A382" t="s">
        <v>919</v>
      </c>
      <c r="B382" t="s">
        <v>28</v>
      </c>
      <c r="C382" t="s">
        <v>909</v>
      </c>
      <c r="D382" t="s">
        <v>30</v>
      </c>
      <c r="E382" t="s">
        <v>31</v>
      </c>
      <c r="F382" t="s">
        <v>179</v>
      </c>
      <c r="G382" t="s">
        <v>6</v>
      </c>
      <c r="H382">
        <v>3.5</v>
      </c>
      <c r="I382">
        <v>5</v>
      </c>
      <c r="J382">
        <v>120</v>
      </c>
      <c r="K382" t="s">
        <v>33</v>
      </c>
      <c r="L382" t="s">
        <v>49</v>
      </c>
      <c r="M382" t="s">
        <v>44</v>
      </c>
      <c r="N382">
        <v>4.7</v>
      </c>
      <c r="O382">
        <v>4.7</v>
      </c>
    </row>
    <row r="383" spans="1:15" x14ac:dyDescent="0.3">
      <c r="A383" t="s">
        <v>920</v>
      </c>
      <c r="B383" t="s">
        <v>330</v>
      </c>
      <c r="C383" t="s">
        <v>921</v>
      </c>
      <c r="D383" t="s">
        <v>68</v>
      </c>
      <c r="E383" t="s">
        <v>130</v>
      </c>
      <c r="F383" t="s">
        <v>150</v>
      </c>
      <c r="G383" t="s">
        <v>6</v>
      </c>
      <c r="H383">
        <v>6</v>
      </c>
      <c r="I383">
        <v>20</v>
      </c>
      <c r="J383">
        <v>134</v>
      </c>
      <c r="K383" t="s">
        <v>33</v>
      </c>
      <c r="L383" t="s">
        <v>161</v>
      </c>
      <c r="M383" t="s">
        <v>35</v>
      </c>
      <c r="N383">
        <v>4.8</v>
      </c>
      <c r="O383">
        <v>4.3</v>
      </c>
    </row>
    <row r="384" spans="1:15" x14ac:dyDescent="0.3">
      <c r="A384" t="s">
        <v>922</v>
      </c>
      <c r="B384" t="s">
        <v>586</v>
      </c>
      <c r="C384" t="s">
        <v>697</v>
      </c>
      <c r="D384" t="s">
        <v>61</v>
      </c>
      <c r="E384" t="s">
        <v>116</v>
      </c>
      <c r="F384" t="s">
        <v>96</v>
      </c>
      <c r="G384" t="s">
        <v>6</v>
      </c>
      <c r="H384">
        <v>4</v>
      </c>
      <c r="I384">
        <v>7</v>
      </c>
      <c r="J384">
        <v>140</v>
      </c>
      <c r="K384" t="s">
        <v>33</v>
      </c>
      <c r="L384" t="s">
        <v>71</v>
      </c>
      <c r="M384" t="s">
        <v>44</v>
      </c>
      <c r="N384">
        <v>5</v>
      </c>
      <c r="O384">
        <v>4.8</v>
      </c>
    </row>
    <row r="385" spans="1:15" x14ac:dyDescent="0.3">
      <c r="A385" t="s">
        <v>923</v>
      </c>
      <c r="B385" t="s">
        <v>481</v>
      </c>
      <c r="C385" t="s">
        <v>924</v>
      </c>
      <c r="D385" t="s">
        <v>53</v>
      </c>
      <c r="E385" t="s">
        <v>515</v>
      </c>
      <c r="F385" t="s">
        <v>54</v>
      </c>
      <c r="G385" t="s">
        <v>6</v>
      </c>
      <c r="H385">
        <v>18.399999999999999</v>
      </c>
      <c r="I385">
        <v>54</v>
      </c>
      <c r="J385">
        <v>306</v>
      </c>
      <c r="K385" t="s">
        <v>33</v>
      </c>
      <c r="L385" t="s">
        <v>57</v>
      </c>
      <c r="M385" t="s">
        <v>35</v>
      </c>
      <c r="N385">
        <v>4.5999999999999996</v>
      </c>
      <c r="O385">
        <v>5</v>
      </c>
    </row>
    <row r="386" spans="1:15" x14ac:dyDescent="0.3">
      <c r="A386" t="s">
        <v>925</v>
      </c>
      <c r="B386" t="s">
        <v>66</v>
      </c>
      <c r="C386" t="s">
        <v>355</v>
      </c>
      <c r="D386" t="s">
        <v>106</v>
      </c>
      <c r="E386" t="s">
        <v>168</v>
      </c>
      <c r="F386" t="s">
        <v>108</v>
      </c>
      <c r="G386" t="s">
        <v>6</v>
      </c>
      <c r="H386">
        <v>11.2</v>
      </c>
      <c r="I386">
        <v>29</v>
      </c>
      <c r="J386">
        <v>208</v>
      </c>
      <c r="K386" t="s">
        <v>102</v>
      </c>
      <c r="L386" t="s">
        <v>49</v>
      </c>
      <c r="M386" t="s">
        <v>44</v>
      </c>
      <c r="N386">
        <v>4.9000000000000004</v>
      </c>
      <c r="O386">
        <v>4.8</v>
      </c>
    </row>
    <row r="387" spans="1:15" x14ac:dyDescent="0.3">
      <c r="A387" t="s">
        <v>926</v>
      </c>
      <c r="B387" t="s">
        <v>927</v>
      </c>
      <c r="C387" t="s">
        <v>416</v>
      </c>
      <c r="D387" t="s">
        <v>81</v>
      </c>
      <c r="E387" t="s">
        <v>134</v>
      </c>
      <c r="F387" t="s">
        <v>268</v>
      </c>
      <c r="G387" t="s">
        <v>6</v>
      </c>
      <c r="H387">
        <v>7.5</v>
      </c>
      <c r="I387">
        <v>28</v>
      </c>
      <c r="J387">
        <v>185</v>
      </c>
      <c r="K387" t="s">
        <v>102</v>
      </c>
      <c r="L387" t="s">
        <v>43</v>
      </c>
      <c r="M387" t="s">
        <v>44</v>
      </c>
      <c r="N387">
        <v>4.8</v>
      </c>
      <c r="O387">
        <v>4.7</v>
      </c>
    </row>
    <row r="388" spans="1:15" x14ac:dyDescent="0.3">
      <c r="A388" t="s">
        <v>928</v>
      </c>
      <c r="B388" t="s">
        <v>450</v>
      </c>
      <c r="C388" t="s">
        <v>929</v>
      </c>
      <c r="D388" t="s">
        <v>68</v>
      </c>
      <c r="E388" t="s">
        <v>210</v>
      </c>
      <c r="F388" t="s">
        <v>150</v>
      </c>
      <c r="G388" t="s">
        <v>2</v>
      </c>
      <c r="H388">
        <v>4.8</v>
      </c>
      <c r="I388">
        <v>15</v>
      </c>
      <c r="J388">
        <v>96</v>
      </c>
      <c r="K388" t="s">
        <v>33</v>
      </c>
      <c r="L388" t="s">
        <v>78</v>
      </c>
      <c r="M388" t="s">
        <v>44</v>
      </c>
      <c r="N388">
        <v>4.8</v>
      </c>
      <c r="O388">
        <v>5</v>
      </c>
    </row>
    <row r="389" spans="1:15" x14ac:dyDescent="0.3">
      <c r="A389" t="s">
        <v>930</v>
      </c>
      <c r="B389" t="s">
        <v>46</v>
      </c>
      <c r="C389" t="s">
        <v>931</v>
      </c>
      <c r="D389" t="s">
        <v>30</v>
      </c>
      <c r="E389" t="s">
        <v>31</v>
      </c>
      <c r="F389" t="s">
        <v>142</v>
      </c>
      <c r="G389" t="s">
        <v>5</v>
      </c>
      <c r="H389">
        <v>10.9</v>
      </c>
      <c r="I389">
        <v>44</v>
      </c>
      <c r="J389">
        <v>334</v>
      </c>
      <c r="K389" t="s">
        <v>33</v>
      </c>
      <c r="L389" t="s">
        <v>64</v>
      </c>
      <c r="M389" t="s">
        <v>44</v>
      </c>
      <c r="N389">
        <v>4.7</v>
      </c>
      <c r="O389">
        <v>4.7</v>
      </c>
    </row>
    <row r="390" spans="1:15" x14ac:dyDescent="0.3">
      <c r="A390" t="s">
        <v>932</v>
      </c>
      <c r="B390" t="s">
        <v>400</v>
      </c>
      <c r="C390" t="s">
        <v>933</v>
      </c>
      <c r="D390" t="s">
        <v>53</v>
      </c>
      <c r="E390" t="s">
        <v>86</v>
      </c>
      <c r="F390" t="s">
        <v>220</v>
      </c>
      <c r="G390" t="s">
        <v>5</v>
      </c>
      <c r="H390">
        <v>7.1</v>
      </c>
      <c r="I390">
        <v>24</v>
      </c>
      <c r="J390">
        <v>188</v>
      </c>
      <c r="K390" t="s">
        <v>33</v>
      </c>
      <c r="L390" t="s">
        <v>64</v>
      </c>
      <c r="M390" t="s">
        <v>44</v>
      </c>
      <c r="N390">
        <v>4.5999999999999996</v>
      </c>
      <c r="O390">
        <v>4.8</v>
      </c>
    </row>
    <row r="391" spans="1:15" x14ac:dyDescent="0.3">
      <c r="A391" t="s">
        <v>934</v>
      </c>
      <c r="B391" t="s">
        <v>88</v>
      </c>
      <c r="C391" t="s">
        <v>559</v>
      </c>
      <c r="D391" t="s">
        <v>53</v>
      </c>
      <c r="E391" t="s">
        <v>236</v>
      </c>
      <c r="F391" t="s">
        <v>54</v>
      </c>
      <c r="G391" t="s">
        <v>5</v>
      </c>
      <c r="H391">
        <v>6.9</v>
      </c>
      <c r="I391">
        <v>15</v>
      </c>
      <c r="J391">
        <v>264</v>
      </c>
      <c r="K391" t="s">
        <v>33</v>
      </c>
      <c r="L391" t="s">
        <v>71</v>
      </c>
      <c r="M391" t="s">
        <v>44</v>
      </c>
      <c r="N391">
        <v>5</v>
      </c>
      <c r="O391">
        <v>4.8</v>
      </c>
    </row>
    <row r="392" spans="1:15" x14ac:dyDescent="0.3">
      <c r="A392" t="s">
        <v>935</v>
      </c>
      <c r="B392" t="s">
        <v>205</v>
      </c>
      <c r="C392" t="s">
        <v>936</v>
      </c>
      <c r="D392" t="s">
        <v>158</v>
      </c>
      <c r="E392" t="s">
        <v>319</v>
      </c>
      <c r="F392" t="s">
        <v>262</v>
      </c>
      <c r="G392" t="s">
        <v>5</v>
      </c>
      <c r="H392">
        <v>7.7</v>
      </c>
      <c r="I392">
        <v>18</v>
      </c>
      <c r="J392">
        <v>265</v>
      </c>
      <c r="K392" t="s">
        <v>375</v>
      </c>
      <c r="L392" t="s">
        <v>71</v>
      </c>
      <c r="M392" t="s">
        <v>44</v>
      </c>
      <c r="N392">
        <v>4.5</v>
      </c>
      <c r="O392">
        <v>4.5999999999999996</v>
      </c>
    </row>
    <row r="393" spans="1:15" x14ac:dyDescent="0.3">
      <c r="A393" t="s">
        <v>937</v>
      </c>
      <c r="B393" t="s">
        <v>647</v>
      </c>
      <c r="C393" t="s">
        <v>938</v>
      </c>
      <c r="D393" t="s">
        <v>106</v>
      </c>
      <c r="E393" t="s">
        <v>290</v>
      </c>
      <c r="F393" t="s">
        <v>107</v>
      </c>
      <c r="G393" t="s">
        <v>5</v>
      </c>
      <c r="H393">
        <v>14.2</v>
      </c>
      <c r="I393">
        <v>25</v>
      </c>
      <c r="J393">
        <v>314</v>
      </c>
      <c r="K393" t="s">
        <v>33</v>
      </c>
      <c r="L393" t="s">
        <v>78</v>
      </c>
      <c r="M393" t="s">
        <v>44</v>
      </c>
      <c r="N393">
        <v>4.5</v>
      </c>
      <c r="O393">
        <v>5</v>
      </c>
    </row>
    <row r="394" spans="1:15" x14ac:dyDescent="0.3">
      <c r="A394" t="s">
        <v>939</v>
      </c>
      <c r="B394" t="s">
        <v>397</v>
      </c>
      <c r="C394" t="s">
        <v>940</v>
      </c>
      <c r="D394" t="s">
        <v>158</v>
      </c>
      <c r="E394" t="s">
        <v>262</v>
      </c>
      <c r="F394" t="s">
        <v>159</v>
      </c>
      <c r="G394" t="s">
        <v>2</v>
      </c>
      <c r="H394">
        <v>1</v>
      </c>
      <c r="I394">
        <v>5</v>
      </c>
      <c r="J394">
        <v>49</v>
      </c>
      <c r="K394" t="s">
        <v>42</v>
      </c>
      <c r="L394" t="s">
        <v>43</v>
      </c>
      <c r="M394" t="s">
        <v>44</v>
      </c>
      <c r="N394">
        <v>4.7</v>
      </c>
      <c r="O394">
        <v>4.7</v>
      </c>
    </row>
    <row r="395" spans="1:15" x14ac:dyDescent="0.3">
      <c r="A395" t="s">
        <v>941</v>
      </c>
      <c r="B395" t="s">
        <v>104</v>
      </c>
      <c r="C395" t="s">
        <v>942</v>
      </c>
      <c r="D395" t="s">
        <v>39</v>
      </c>
      <c r="E395" t="s">
        <v>48</v>
      </c>
      <c r="F395" t="s">
        <v>278</v>
      </c>
      <c r="G395" t="s">
        <v>7</v>
      </c>
      <c r="H395">
        <v>18.5</v>
      </c>
      <c r="I395">
        <v>50</v>
      </c>
      <c r="J395">
        <v>415</v>
      </c>
      <c r="K395" t="s">
        <v>375</v>
      </c>
      <c r="L395" t="s">
        <v>78</v>
      </c>
      <c r="M395" t="s">
        <v>44</v>
      </c>
      <c r="N395">
        <v>5</v>
      </c>
      <c r="O395">
        <v>4.8</v>
      </c>
    </row>
    <row r="396" spans="1:15" x14ac:dyDescent="0.3">
      <c r="A396" t="s">
        <v>943</v>
      </c>
      <c r="B396" t="s">
        <v>562</v>
      </c>
      <c r="C396" t="s">
        <v>944</v>
      </c>
      <c r="D396" t="s">
        <v>53</v>
      </c>
      <c r="E396" t="s">
        <v>221</v>
      </c>
      <c r="F396" t="s">
        <v>236</v>
      </c>
      <c r="G396" t="s">
        <v>5</v>
      </c>
      <c r="H396">
        <v>4.8</v>
      </c>
      <c r="I396">
        <v>14</v>
      </c>
      <c r="J396">
        <v>158</v>
      </c>
      <c r="K396" t="s">
        <v>192</v>
      </c>
      <c r="L396" t="s">
        <v>49</v>
      </c>
      <c r="M396" t="s">
        <v>44</v>
      </c>
      <c r="N396">
        <v>4.0999999999999996</v>
      </c>
      <c r="O396">
        <v>4.7</v>
      </c>
    </row>
    <row r="397" spans="1:15" x14ac:dyDescent="0.3">
      <c r="A397" t="s">
        <v>945</v>
      </c>
      <c r="B397" t="s">
        <v>181</v>
      </c>
      <c r="C397" t="s">
        <v>946</v>
      </c>
      <c r="D397" t="s">
        <v>158</v>
      </c>
      <c r="E397" t="s">
        <v>284</v>
      </c>
      <c r="F397" t="s">
        <v>283</v>
      </c>
      <c r="G397" t="s">
        <v>3</v>
      </c>
      <c r="H397">
        <v>3.5</v>
      </c>
      <c r="I397">
        <v>11</v>
      </c>
      <c r="J397">
        <v>286</v>
      </c>
      <c r="K397" t="s">
        <v>375</v>
      </c>
      <c r="L397" t="s">
        <v>64</v>
      </c>
      <c r="M397" t="s">
        <v>44</v>
      </c>
      <c r="N397">
        <v>4.5999999999999996</v>
      </c>
      <c r="O397">
        <v>4.7</v>
      </c>
    </row>
    <row r="398" spans="1:15" x14ac:dyDescent="0.3">
      <c r="A398" t="s">
        <v>947</v>
      </c>
      <c r="B398" t="s">
        <v>37</v>
      </c>
      <c r="C398" t="s">
        <v>948</v>
      </c>
      <c r="D398" t="s">
        <v>81</v>
      </c>
      <c r="E398" t="s">
        <v>268</v>
      </c>
      <c r="F398" t="s">
        <v>82</v>
      </c>
      <c r="G398" t="s">
        <v>6</v>
      </c>
      <c r="H398">
        <v>6.9</v>
      </c>
      <c r="I398">
        <v>19</v>
      </c>
      <c r="J398">
        <v>189</v>
      </c>
      <c r="K398" t="s">
        <v>33</v>
      </c>
      <c r="L398" t="s">
        <v>43</v>
      </c>
      <c r="M398" t="s">
        <v>44</v>
      </c>
      <c r="N398">
        <v>4.7</v>
      </c>
      <c r="O398">
        <v>5</v>
      </c>
    </row>
    <row r="399" spans="1:15" x14ac:dyDescent="0.3">
      <c r="A399" t="s">
        <v>949</v>
      </c>
      <c r="B399" t="s">
        <v>118</v>
      </c>
      <c r="C399" t="s">
        <v>950</v>
      </c>
      <c r="D399" t="s">
        <v>39</v>
      </c>
      <c r="E399" t="s">
        <v>40</v>
      </c>
      <c r="F399" t="s">
        <v>41</v>
      </c>
      <c r="G399" t="s">
        <v>5</v>
      </c>
      <c r="H399">
        <v>2</v>
      </c>
      <c r="I399">
        <v>8</v>
      </c>
      <c r="J399">
        <v>137</v>
      </c>
      <c r="K399" t="s">
        <v>33</v>
      </c>
      <c r="L399" t="s">
        <v>43</v>
      </c>
      <c r="M399" t="s">
        <v>44</v>
      </c>
      <c r="N399">
        <v>4.5999999999999996</v>
      </c>
      <c r="O399">
        <v>4.5999999999999996</v>
      </c>
    </row>
    <row r="400" spans="1:15" x14ac:dyDescent="0.3">
      <c r="A400" t="s">
        <v>951</v>
      </c>
      <c r="B400" t="s">
        <v>37</v>
      </c>
      <c r="C400" t="s">
        <v>952</v>
      </c>
      <c r="D400" t="s">
        <v>61</v>
      </c>
      <c r="E400" t="s">
        <v>96</v>
      </c>
      <c r="F400" t="s">
        <v>183</v>
      </c>
      <c r="G400" t="s">
        <v>2</v>
      </c>
      <c r="H400">
        <v>2.5</v>
      </c>
      <c r="I400">
        <v>6</v>
      </c>
      <c r="J400">
        <v>93</v>
      </c>
      <c r="K400" t="s">
        <v>102</v>
      </c>
      <c r="L400" t="s">
        <v>71</v>
      </c>
      <c r="M400" t="s">
        <v>44</v>
      </c>
      <c r="N400">
        <v>4.7</v>
      </c>
      <c r="O400">
        <v>5</v>
      </c>
    </row>
    <row r="401" spans="1:15" x14ac:dyDescent="0.3">
      <c r="A401" t="s">
        <v>953</v>
      </c>
      <c r="B401" t="s">
        <v>28</v>
      </c>
      <c r="C401" t="s">
        <v>954</v>
      </c>
      <c r="D401" t="s">
        <v>53</v>
      </c>
      <c r="E401" t="s">
        <v>221</v>
      </c>
      <c r="F401" t="s">
        <v>54</v>
      </c>
      <c r="G401" t="s">
        <v>5</v>
      </c>
      <c r="H401">
        <v>5.2</v>
      </c>
      <c r="I401">
        <v>15</v>
      </c>
      <c r="J401">
        <v>153</v>
      </c>
      <c r="K401" t="s">
        <v>33</v>
      </c>
      <c r="L401" t="s">
        <v>43</v>
      </c>
      <c r="M401" t="s">
        <v>44</v>
      </c>
      <c r="N401">
        <v>4.8</v>
      </c>
      <c r="O401">
        <v>4.8</v>
      </c>
    </row>
    <row r="402" spans="1:15" x14ac:dyDescent="0.3">
      <c r="A402" t="s">
        <v>955</v>
      </c>
      <c r="B402" t="s">
        <v>46</v>
      </c>
      <c r="C402" t="s">
        <v>956</v>
      </c>
      <c r="D402" t="s">
        <v>30</v>
      </c>
      <c r="E402" t="s">
        <v>142</v>
      </c>
      <c r="F402" t="s">
        <v>101</v>
      </c>
      <c r="G402" t="s">
        <v>5</v>
      </c>
      <c r="H402">
        <v>2.6</v>
      </c>
      <c r="I402">
        <v>12</v>
      </c>
      <c r="J402">
        <v>81</v>
      </c>
      <c r="K402" t="s">
        <v>33</v>
      </c>
      <c r="L402" t="s">
        <v>43</v>
      </c>
      <c r="M402" t="s">
        <v>44</v>
      </c>
      <c r="N402">
        <v>4.5999999999999996</v>
      </c>
      <c r="O402">
        <v>4.7</v>
      </c>
    </row>
    <row r="403" spans="1:15" x14ac:dyDescent="0.3">
      <c r="A403" t="s">
        <v>957</v>
      </c>
      <c r="B403" t="s">
        <v>118</v>
      </c>
      <c r="C403" t="s">
        <v>958</v>
      </c>
      <c r="D403" t="s">
        <v>68</v>
      </c>
      <c r="E403" t="s">
        <v>120</v>
      </c>
      <c r="F403" t="s">
        <v>130</v>
      </c>
      <c r="G403" t="s">
        <v>6</v>
      </c>
      <c r="H403">
        <v>11.5</v>
      </c>
      <c r="I403">
        <v>24</v>
      </c>
      <c r="J403">
        <v>270</v>
      </c>
      <c r="K403" t="s">
        <v>42</v>
      </c>
      <c r="L403" t="s">
        <v>34</v>
      </c>
      <c r="M403" t="s">
        <v>35</v>
      </c>
      <c r="N403">
        <v>4.8</v>
      </c>
      <c r="O403">
        <v>5</v>
      </c>
    </row>
    <row r="404" spans="1:15" x14ac:dyDescent="0.3">
      <c r="A404" t="s">
        <v>959</v>
      </c>
      <c r="B404" t="s">
        <v>294</v>
      </c>
      <c r="C404" t="s">
        <v>295</v>
      </c>
      <c r="D404" t="s">
        <v>68</v>
      </c>
      <c r="E404" t="s">
        <v>195</v>
      </c>
      <c r="F404" t="s">
        <v>120</v>
      </c>
      <c r="G404" t="s">
        <v>6</v>
      </c>
      <c r="H404">
        <v>4.5</v>
      </c>
      <c r="I404">
        <v>12</v>
      </c>
      <c r="J404">
        <v>172</v>
      </c>
      <c r="K404" t="s">
        <v>42</v>
      </c>
      <c r="L404" t="s">
        <v>43</v>
      </c>
      <c r="M404" t="s">
        <v>44</v>
      </c>
      <c r="N404">
        <v>4.8</v>
      </c>
      <c r="O404">
        <v>4.5</v>
      </c>
    </row>
    <row r="405" spans="1:15" x14ac:dyDescent="0.3">
      <c r="A405" t="s">
        <v>960</v>
      </c>
      <c r="B405" t="s">
        <v>93</v>
      </c>
      <c r="C405" t="s">
        <v>961</v>
      </c>
      <c r="D405" t="s">
        <v>81</v>
      </c>
      <c r="E405" t="s">
        <v>268</v>
      </c>
      <c r="F405" t="s">
        <v>82</v>
      </c>
      <c r="G405" t="s">
        <v>7</v>
      </c>
      <c r="H405">
        <v>14.8</v>
      </c>
      <c r="I405">
        <v>36</v>
      </c>
      <c r="J405">
        <v>385</v>
      </c>
      <c r="K405" t="s">
        <v>102</v>
      </c>
      <c r="L405" t="s">
        <v>34</v>
      </c>
      <c r="M405" t="s">
        <v>35</v>
      </c>
      <c r="N405">
        <v>4.5999999999999996</v>
      </c>
      <c r="O405">
        <v>5</v>
      </c>
    </row>
    <row r="406" spans="1:15" x14ac:dyDescent="0.3">
      <c r="A406" t="s">
        <v>962</v>
      </c>
      <c r="B406" t="s">
        <v>689</v>
      </c>
      <c r="C406" t="s">
        <v>963</v>
      </c>
      <c r="D406" t="s">
        <v>30</v>
      </c>
      <c r="E406" t="s">
        <v>179</v>
      </c>
      <c r="F406" t="s">
        <v>101</v>
      </c>
      <c r="G406" t="s">
        <v>6</v>
      </c>
      <c r="H406">
        <v>6.2</v>
      </c>
      <c r="I406">
        <v>22</v>
      </c>
      <c r="J406">
        <v>222</v>
      </c>
      <c r="K406" t="s">
        <v>42</v>
      </c>
      <c r="L406" t="s">
        <v>71</v>
      </c>
      <c r="M406" t="s">
        <v>44</v>
      </c>
      <c r="N406">
        <v>4.7</v>
      </c>
      <c r="O406">
        <v>4.9000000000000004</v>
      </c>
    </row>
    <row r="407" spans="1:15" x14ac:dyDescent="0.3">
      <c r="A407" t="s">
        <v>964</v>
      </c>
      <c r="B407" t="s">
        <v>689</v>
      </c>
      <c r="C407" t="s">
        <v>965</v>
      </c>
      <c r="D407" t="s">
        <v>61</v>
      </c>
      <c r="E407" t="s">
        <v>191</v>
      </c>
      <c r="F407" t="s">
        <v>62</v>
      </c>
      <c r="G407" t="s">
        <v>3</v>
      </c>
      <c r="H407">
        <v>17.899999999999999</v>
      </c>
      <c r="I407">
        <v>51</v>
      </c>
      <c r="J407">
        <v>722</v>
      </c>
      <c r="K407" t="s">
        <v>192</v>
      </c>
      <c r="L407" t="s">
        <v>78</v>
      </c>
      <c r="M407" t="s">
        <v>44</v>
      </c>
      <c r="N407">
        <v>4.5999999999999996</v>
      </c>
      <c r="O407">
        <v>5</v>
      </c>
    </row>
    <row r="408" spans="1:15" x14ac:dyDescent="0.3">
      <c r="A408" t="s">
        <v>966</v>
      </c>
      <c r="B408" t="s">
        <v>218</v>
      </c>
      <c r="C408" t="s">
        <v>307</v>
      </c>
      <c r="D408" t="s">
        <v>53</v>
      </c>
      <c r="E408" t="s">
        <v>54</v>
      </c>
      <c r="F408" t="s">
        <v>55</v>
      </c>
      <c r="G408" t="s">
        <v>6</v>
      </c>
      <c r="H408">
        <v>5.2</v>
      </c>
      <c r="I408">
        <v>15</v>
      </c>
      <c r="J408">
        <v>158</v>
      </c>
      <c r="K408" t="s">
        <v>33</v>
      </c>
      <c r="L408" t="s">
        <v>43</v>
      </c>
      <c r="M408" t="s">
        <v>44</v>
      </c>
      <c r="N408">
        <v>4.7</v>
      </c>
      <c r="O408">
        <v>4.4000000000000004</v>
      </c>
    </row>
    <row r="409" spans="1:15" x14ac:dyDescent="0.3">
      <c r="A409" t="s">
        <v>967</v>
      </c>
      <c r="B409" t="s">
        <v>629</v>
      </c>
      <c r="C409" t="s">
        <v>548</v>
      </c>
      <c r="D409" t="s">
        <v>39</v>
      </c>
      <c r="E409" t="s">
        <v>278</v>
      </c>
      <c r="F409" t="s">
        <v>40</v>
      </c>
      <c r="G409" t="s">
        <v>5</v>
      </c>
      <c r="H409">
        <v>2</v>
      </c>
      <c r="I409">
        <v>5</v>
      </c>
      <c r="J409">
        <v>129</v>
      </c>
      <c r="K409" t="s">
        <v>102</v>
      </c>
      <c r="L409" t="s">
        <v>43</v>
      </c>
      <c r="M409" t="s">
        <v>44</v>
      </c>
      <c r="N409">
        <v>4.9000000000000004</v>
      </c>
      <c r="O409">
        <v>4.5999999999999996</v>
      </c>
    </row>
    <row r="410" spans="1:15" x14ac:dyDescent="0.3">
      <c r="A410" t="s">
        <v>968</v>
      </c>
      <c r="B410" t="s">
        <v>246</v>
      </c>
      <c r="C410" t="s">
        <v>929</v>
      </c>
      <c r="D410" t="s">
        <v>61</v>
      </c>
      <c r="E410" t="s">
        <v>328</v>
      </c>
      <c r="F410" t="s">
        <v>96</v>
      </c>
      <c r="G410" t="s">
        <v>4</v>
      </c>
      <c r="H410">
        <v>7.6</v>
      </c>
      <c r="I410">
        <v>11</v>
      </c>
      <c r="J410">
        <v>234</v>
      </c>
      <c r="K410" t="s">
        <v>102</v>
      </c>
      <c r="L410" t="s">
        <v>78</v>
      </c>
      <c r="M410" t="s">
        <v>44</v>
      </c>
      <c r="N410">
        <v>4.5999999999999996</v>
      </c>
      <c r="O410">
        <v>4.5999999999999996</v>
      </c>
    </row>
    <row r="411" spans="1:15" x14ac:dyDescent="0.3">
      <c r="A411" t="s">
        <v>969</v>
      </c>
      <c r="B411" t="s">
        <v>349</v>
      </c>
      <c r="C411" t="s">
        <v>567</v>
      </c>
      <c r="D411" t="s">
        <v>81</v>
      </c>
      <c r="E411" t="s">
        <v>90</v>
      </c>
      <c r="F411" t="s">
        <v>351</v>
      </c>
      <c r="G411" t="s">
        <v>6</v>
      </c>
      <c r="H411">
        <v>3.6</v>
      </c>
      <c r="I411">
        <v>7</v>
      </c>
      <c r="J411">
        <v>94</v>
      </c>
      <c r="K411" t="s">
        <v>33</v>
      </c>
      <c r="L411" t="s">
        <v>64</v>
      </c>
      <c r="M411" t="s">
        <v>44</v>
      </c>
      <c r="N411">
        <v>4.3</v>
      </c>
      <c r="O411">
        <v>4.7</v>
      </c>
    </row>
    <row r="412" spans="1:15" x14ac:dyDescent="0.3">
      <c r="A412" t="s">
        <v>970</v>
      </c>
      <c r="B412" t="s">
        <v>400</v>
      </c>
      <c r="C412" t="s">
        <v>137</v>
      </c>
      <c r="D412" t="s">
        <v>30</v>
      </c>
      <c r="E412" t="s">
        <v>31</v>
      </c>
      <c r="F412" t="s">
        <v>32</v>
      </c>
      <c r="G412" t="s">
        <v>6</v>
      </c>
      <c r="H412">
        <v>10.7</v>
      </c>
      <c r="I412">
        <v>29</v>
      </c>
      <c r="J412">
        <v>302</v>
      </c>
      <c r="K412" t="s">
        <v>42</v>
      </c>
      <c r="L412" t="s">
        <v>43</v>
      </c>
      <c r="M412" t="s">
        <v>44</v>
      </c>
      <c r="N412">
        <v>4.5999999999999996</v>
      </c>
      <c r="O412">
        <v>4.8</v>
      </c>
    </row>
    <row r="413" spans="1:15" x14ac:dyDescent="0.3">
      <c r="A413" t="s">
        <v>971</v>
      </c>
      <c r="B413" t="s">
        <v>468</v>
      </c>
      <c r="C413" t="s">
        <v>972</v>
      </c>
      <c r="D413" t="s">
        <v>61</v>
      </c>
      <c r="E413" t="s">
        <v>62</v>
      </c>
      <c r="F413" t="s">
        <v>191</v>
      </c>
      <c r="G413" t="s">
        <v>6</v>
      </c>
      <c r="H413">
        <v>12.9</v>
      </c>
      <c r="I413">
        <v>30</v>
      </c>
      <c r="J413">
        <v>267</v>
      </c>
      <c r="K413" t="s">
        <v>102</v>
      </c>
      <c r="L413" t="s">
        <v>43</v>
      </c>
      <c r="M413" t="s">
        <v>44</v>
      </c>
      <c r="N413">
        <v>4.5999999999999996</v>
      </c>
      <c r="O413">
        <v>4.9000000000000004</v>
      </c>
    </row>
    <row r="414" spans="1:15" x14ac:dyDescent="0.3">
      <c r="A414" t="s">
        <v>973</v>
      </c>
      <c r="B414" t="s">
        <v>46</v>
      </c>
      <c r="C414" t="s">
        <v>974</v>
      </c>
      <c r="D414" t="s">
        <v>68</v>
      </c>
      <c r="E414" t="s">
        <v>210</v>
      </c>
      <c r="F414" t="s">
        <v>130</v>
      </c>
      <c r="G414" t="s">
        <v>4</v>
      </c>
      <c r="H414">
        <v>2.4</v>
      </c>
      <c r="I414">
        <v>5</v>
      </c>
      <c r="J414">
        <v>171</v>
      </c>
      <c r="K414" t="s">
        <v>102</v>
      </c>
      <c r="L414" t="s">
        <v>64</v>
      </c>
      <c r="M414" t="s">
        <v>44</v>
      </c>
      <c r="N414">
        <v>4.7</v>
      </c>
      <c r="O414">
        <v>5</v>
      </c>
    </row>
    <row r="415" spans="1:15" x14ac:dyDescent="0.3">
      <c r="A415" t="s">
        <v>975</v>
      </c>
      <c r="B415" t="s">
        <v>132</v>
      </c>
      <c r="C415" t="s">
        <v>976</v>
      </c>
      <c r="D415" t="s">
        <v>81</v>
      </c>
      <c r="E415" t="s">
        <v>351</v>
      </c>
      <c r="F415" t="s">
        <v>134</v>
      </c>
      <c r="G415" t="s">
        <v>6</v>
      </c>
      <c r="H415">
        <v>1</v>
      </c>
      <c r="I415">
        <v>5</v>
      </c>
      <c r="J415">
        <v>65</v>
      </c>
      <c r="K415" t="s">
        <v>33</v>
      </c>
      <c r="L415" t="s">
        <v>57</v>
      </c>
      <c r="M415" t="s">
        <v>35</v>
      </c>
      <c r="N415">
        <v>4.3</v>
      </c>
      <c r="O415">
        <v>4.9000000000000004</v>
      </c>
    </row>
    <row r="416" spans="1:15" x14ac:dyDescent="0.3">
      <c r="A416" t="s">
        <v>977</v>
      </c>
      <c r="B416" t="s">
        <v>205</v>
      </c>
      <c r="C416" t="s">
        <v>978</v>
      </c>
      <c r="D416" t="s">
        <v>158</v>
      </c>
      <c r="E416" t="s">
        <v>319</v>
      </c>
      <c r="F416" t="s">
        <v>160</v>
      </c>
      <c r="G416" t="s">
        <v>4</v>
      </c>
      <c r="H416">
        <v>10.6</v>
      </c>
      <c r="I416">
        <v>28</v>
      </c>
      <c r="J416">
        <v>456</v>
      </c>
      <c r="K416" t="s">
        <v>33</v>
      </c>
      <c r="L416" t="s">
        <v>71</v>
      </c>
      <c r="M416" t="s">
        <v>44</v>
      </c>
      <c r="N416">
        <v>5</v>
      </c>
      <c r="O416">
        <v>4.3</v>
      </c>
    </row>
    <row r="417" spans="1:15" x14ac:dyDescent="0.3">
      <c r="A417" t="s">
        <v>979</v>
      </c>
      <c r="B417" t="s">
        <v>531</v>
      </c>
      <c r="C417" t="s">
        <v>980</v>
      </c>
      <c r="D417" t="s">
        <v>106</v>
      </c>
      <c r="E417" t="s">
        <v>108</v>
      </c>
      <c r="F417" t="s">
        <v>443</v>
      </c>
      <c r="G417" t="s">
        <v>6</v>
      </c>
      <c r="H417">
        <v>8.6</v>
      </c>
      <c r="I417">
        <v>11</v>
      </c>
      <c r="J417">
        <v>186</v>
      </c>
      <c r="K417" t="s">
        <v>42</v>
      </c>
      <c r="L417" t="s">
        <v>64</v>
      </c>
      <c r="M417" t="s">
        <v>44</v>
      </c>
      <c r="N417">
        <v>5</v>
      </c>
      <c r="O417">
        <v>4.9000000000000004</v>
      </c>
    </row>
    <row r="418" spans="1:15" x14ac:dyDescent="0.3">
      <c r="A418" t="s">
        <v>981</v>
      </c>
      <c r="B418" t="s">
        <v>562</v>
      </c>
      <c r="C418" t="s">
        <v>641</v>
      </c>
      <c r="D418" t="s">
        <v>75</v>
      </c>
      <c r="E418" t="s">
        <v>77</v>
      </c>
      <c r="F418" t="s">
        <v>76</v>
      </c>
      <c r="G418" t="s">
        <v>2</v>
      </c>
      <c r="H418">
        <v>2.1</v>
      </c>
      <c r="I418">
        <v>6</v>
      </c>
      <c r="J418">
        <v>56</v>
      </c>
      <c r="K418" t="s">
        <v>102</v>
      </c>
      <c r="L418" t="s">
        <v>78</v>
      </c>
      <c r="M418" t="s">
        <v>44</v>
      </c>
      <c r="N418">
        <v>4.8</v>
      </c>
      <c r="O418">
        <v>4.8</v>
      </c>
    </row>
    <row r="419" spans="1:15" x14ac:dyDescent="0.3">
      <c r="A419" t="s">
        <v>982</v>
      </c>
      <c r="B419" t="s">
        <v>853</v>
      </c>
      <c r="C419" t="s">
        <v>983</v>
      </c>
      <c r="D419" t="s">
        <v>75</v>
      </c>
      <c r="E419" t="s">
        <v>313</v>
      </c>
      <c r="F419" t="s">
        <v>239</v>
      </c>
      <c r="G419" t="s">
        <v>2</v>
      </c>
      <c r="H419">
        <v>1.9</v>
      </c>
      <c r="I419">
        <v>11</v>
      </c>
      <c r="J419">
        <v>60</v>
      </c>
      <c r="K419" t="s">
        <v>42</v>
      </c>
      <c r="L419" t="s">
        <v>78</v>
      </c>
      <c r="M419" t="s">
        <v>44</v>
      </c>
      <c r="N419">
        <v>4.5</v>
      </c>
      <c r="O419">
        <v>5</v>
      </c>
    </row>
    <row r="420" spans="1:15" x14ac:dyDescent="0.3">
      <c r="A420" t="s">
        <v>984</v>
      </c>
      <c r="B420" t="s">
        <v>340</v>
      </c>
      <c r="C420" t="s">
        <v>985</v>
      </c>
      <c r="D420" t="s">
        <v>68</v>
      </c>
      <c r="E420" t="s">
        <v>120</v>
      </c>
      <c r="F420" t="s">
        <v>70</v>
      </c>
      <c r="G420" t="s">
        <v>2</v>
      </c>
      <c r="H420">
        <v>8</v>
      </c>
      <c r="I420">
        <v>15</v>
      </c>
      <c r="J420">
        <v>140</v>
      </c>
      <c r="K420" t="s">
        <v>33</v>
      </c>
      <c r="L420" t="s">
        <v>34</v>
      </c>
      <c r="M420" t="s">
        <v>35</v>
      </c>
      <c r="N420">
        <v>4.5999999999999996</v>
      </c>
      <c r="O420">
        <v>4.8</v>
      </c>
    </row>
    <row r="421" spans="1:15" x14ac:dyDescent="0.3">
      <c r="A421" t="s">
        <v>986</v>
      </c>
      <c r="B421" t="s">
        <v>170</v>
      </c>
      <c r="C421" t="s">
        <v>987</v>
      </c>
      <c r="D421" t="s">
        <v>75</v>
      </c>
      <c r="E421" t="s">
        <v>578</v>
      </c>
      <c r="F421" t="s">
        <v>77</v>
      </c>
      <c r="G421" t="s">
        <v>6</v>
      </c>
      <c r="H421">
        <v>6</v>
      </c>
      <c r="I421">
        <v>13</v>
      </c>
      <c r="J421">
        <v>161</v>
      </c>
      <c r="K421" t="s">
        <v>33</v>
      </c>
      <c r="L421" t="s">
        <v>78</v>
      </c>
      <c r="M421" t="s">
        <v>44</v>
      </c>
      <c r="N421">
        <v>4.2</v>
      </c>
      <c r="O421">
        <v>4.7</v>
      </c>
    </row>
    <row r="422" spans="1:15" x14ac:dyDescent="0.3">
      <c r="A422" t="s">
        <v>988</v>
      </c>
      <c r="B422" t="s">
        <v>148</v>
      </c>
      <c r="C422" t="s">
        <v>989</v>
      </c>
      <c r="D422" t="s">
        <v>106</v>
      </c>
      <c r="E422" t="s">
        <v>108</v>
      </c>
      <c r="F422" t="s">
        <v>187</v>
      </c>
      <c r="G422" t="s">
        <v>4</v>
      </c>
      <c r="H422">
        <v>1</v>
      </c>
      <c r="I422">
        <v>6</v>
      </c>
      <c r="J422">
        <v>88</v>
      </c>
      <c r="K422" t="s">
        <v>56</v>
      </c>
      <c r="L422" t="s">
        <v>78</v>
      </c>
      <c r="M422" t="s">
        <v>44</v>
      </c>
      <c r="N422">
        <v>5</v>
      </c>
      <c r="O422">
        <v>4.9000000000000004</v>
      </c>
    </row>
    <row r="423" spans="1:15" x14ac:dyDescent="0.3">
      <c r="A423" t="s">
        <v>990</v>
      </c>
      <c r="B423" t="s">
        <v>205</v>
      </c>
      <c r="C423" t="s">
        <v>991</v>
      </c>
      <c r="D423" t="s">
        <v>53</v>
      </c>
      <c r="E423" t="s">
        <v>54</v>
      </c>
      <c r="F423" t="s">
        <v>86</v>
      </c>
      <c r="G423" t="s">
        <v>2</v>
      </c>
      <c r="H423">
        <v>8.3000000000000007</v>
      </c>
      <c r="I423">
        <v>24</v>
      </c>
      <c r="J423">
        <v>143</v>
      </c>
      <c r="K423" t="s">
        <v>33</v>
      </c>
      <c r="L423" t="s">
        <v>49</v>
      </c>
      <c r="M423" t="s">
        <v>44</v>
      </c>
      <c r="N423">
        <v>4.8</v>
      </c>
      <c r="O423">
        <v>4.5</v>
      </c>
    </row>
    <row r="424" spans="1:15" x14ac:dyDescent="0.3">
      <c r="A424" t="s">
        <v>992</v>
      </c>
      <c r="B424" t="s">
        <v>200</v>
      </c>
      <c r="C424" t="s">
        <v>791</v>
      </c>
      <c r="D424" t="s">
        <v>68</v>
      </c>
      <c r="E424" t="s">
        <v>172</v>
      </c>
      <c r="F424" t="s">
        <v>195</v>
      </c>
      <c r="G424" t="s">
        <v>4</v>
      </c>
      <c r="H424">
        <v>7.7</v>
      </c>
      <c r="I424">
        <v>9</v>
      </c>
      <c r="J424">
        <v>338</v>
      </c>
      <c r="K424" t="s">
        <v>102</v>
      </c>
      <c r="L424" t="s">
        <v>71</v>
      </c>
      <c r="M424" t="s">
        <v>44</v>
      </c>
      <c r="N424">
        <v>4.8</v>
      </c>
      <c r="O424">
        <v>4.7</v>
      </c>
    </row>
    <row r="425" spans="1:15" x14ac:dyDescent="0.3">
      <c r="A425" t="s">
        <v>993</v>
      </c>
      <c r="B425" t="s">
        <v>397</v>
      </c>
      <c r="C425" t="s">
        <v>500</v>
      </c>
      <c r="D425" t="s">
        <v>39</v>
      </c>
      <c r="E425" t="s">
        <v>40</v>
      </c>
      <c r="F425" t="s">
        <v>48</v>
      </c>
      <c r="G425" t="s">
        <v>2</v>
      </c>
      <c r="H425">
        <v>4.5999999999999996</v>
      </c>
      <c r="I425">
        <v>16</v>
      </c>
      <c r="J425">
        <v>110</v>
      </c>
      <c r="K425" t="s">
        <v>102</v>
      </c>
      <c r="L425" t="s">
        <v>64</v>
      </c>
      <c r="M425" t="s">
        <v>44</v>
      </c>
      <c r="N425">
        <v>4.8</v>
      </c>
      <c r="O425">
        <v>4.5999999999999996</v>
      </c>
    </row>
    <row r="426" spans="1:15" x14ac:dyDescent="0.3">
      <c r="A426" t="s">
        <v>994</v>
      </c>
      <c r="B426" t="s">
        <v>853</v>
      </c>
      <c r="C426" t="s">
        <v>995</v>
      </c>
      <c r="D426" t="s">
        <v>30</v>
      </c>
      <c r="E426" t="s">
        <v>138</v>
      </c>
      <c r="F426" t="s">
        <v>32</v>
      </c>
      <c r="G426" t="s">
        <v>4</v>
      </c>
      <c r="H426">
        <v>2</v>
      </c>
      <c r="I426">
        <v>12</v>
      </c>
      <c r="J426">
        <v>131</v>
      </c>
      <c r="K426" t="s">
        <v>33</v>
      </c>
      <c r="L426" t="s">
        <v>161</v>
      </c>
      <c r="M426" t="s">
        <v>35</v>
      </c>
      <c r="N426">
        <v>4.5</v>
      </c>
      <c r="O426">
        <v>4.7</v>
      </c>
    </row>
    <row r="427" spans="1:15" x14ac:dyDescent="0.3">
      <c r="A427" t="s">
        <v>996</v>
      </c>
      <c r="B427" t="s">
        <v>552</v>
      </c>
      <c r="C427" t="s">
        <v>997</v>
      </c>
      <c r="D427" t="s">
        <v>106</v>
      </c>
      <c r="E427" t="s">
        <v>472</v>
      </c>
      <c r="F427" t="s">
        <v>108</v>
      </c>
      <c r="G427" t="s">
        <v>5</v>
      </c>
      <c r="H427">
        <v>2.4</v>
      </c>
      <c r="I427">
        <v>9</v>
      </c>
      <c r="J427">
        <v>161</v>
      </c>
      <c r="K427" t="s">
        <v>33</v>
      </c>
      <c r="L427" t="s">
        <v>71</v>
      </c>
      <c r="M427" t="s">
        <v>44</v>
      </c>
      <c r="N427">
        <v>4.8</v>
      </c>
      <c r="O427">
        <v>5</v>
      </c>
    </row>
    <row r="428" spans="1:15" x14ac:dyDescent="0.3">
      <c r="A428" t="s">
        <v>998</v>
      </c>
      <c r="B428" t="s">
        <v>163</v>
      </c>
      <c r="C428" t="s">
        <v>963</v>
      </c>
      <c r="D428" t="s">
        <v>158</v>
      </c>
      <c r="E428" t="s">
        <v>319</v>
      </c>
      <c r="F428" t="s">
        <v>283</v>
      </c>
      <c r="G428" t="s">
        <v>6</v>
      </c>
      <c r="H428">
        <v>9.3000000000000007</v>
      </c>
      <c r="I428">
        <v>22</v>
      </c>
      <c r="J428">
        <v>286</v>
      </c>
      <c r="K428" t="s">
        <v>102</v>
      </c>
      <c r="L428" t="s">
        <v>71</v>
      </c>
      <c r="M428" t="s">
        <v>44</v>
      </c>
      <c r="N428">
        <v>4.5999999999999996</v>
      </c>
      <c r="O428">
        <v>4.7</v>
      </c>
    </row>
    <row r="429" spans="1:15" x14ac:dyDescent="0.3">
      <c r="A429" t="s">
        <v>999</v>
      </c>
      <c r="B429" t="s">
        <v>286</v>
      </c>
      <c r="C429" t="s">
        <v>60</v>
      </c>
      <c r="D429" t="s">
        <v>68</v>
      </c>
      <c r="E429" t="s">
        <v>69</v>
      </c>
      <c r="F429" t="s">
        <v>195</v>
      </c>
      <c r="G429" t="s">
        <v>2</v>
      </c>
      <c r="H429">
        <v>4.2</v>
      </c>
      <c r="I429">
        <v>19</v>
      </c>
      <c r="J429">
        <v>104</v>
      </c>
      <c r="K429" t="s">
        <v>42</v>
      </c>
      <c r="L429" t="s">
        <v>64</v>
      </c>
      <c r="M429" t="s">
        <v>44</v>
      </c>
      <c r="N429">
        <v>4.5999999999999996</v>
      </c>
      <c r="O429">
        <v>5</v>
      </c>
    </row>
    <row r="430" spans="1:15" x14ac:dyDescent="0.3">
      <c r="A430" t="s">
        <v>1000</v>
      </c>
      <c r="B430" t="s">
        <v>684</v>
      </c>
      <c r="C430" t="s">
        <v>1001</v>
      </c>
      <c r="D430" t="s">
        <v>30</v>
      </c>
      <c r="E430" t="s">
        <v>112</v>
      </c>
      <c r="F430" t="s">
        <v>179</v>
      </c>
      <c r="G430" t="s">
        <v>6</v>
      </c>
      <c r="H430">
        <v>2.7</v>
      </c>
      <c r="I430">
        <v>6</v>
      </c>
      <c r="J430">
        <v>92</v>
      </c>
      <c r="K430" t="s">
        <v>33</v>
      </c>
      <c r="L430" t="s">
        <v>49</v>
      </c>
      <c r="M430" t="s">
        <v>44</v>
      </c>
      <c r="N430">
        <v>4.8</v>
      </c>
      <c r="O430">
        <v>4.9000000000000004</v>
      </c>
    </row>
    <row r="431" spans="1:15" x14ac:dyDescent="0.3">
      <c r="A431" t="s">
        <v>1002</v>
      </c>
      <c r="B431" t="s">
        <v>309</v>
      </c>
      <c r="C431" t="s">
        <v>1003</v>
      </c>
      <c r="D431" t="s">
        <v>68</v>
      </c>
      <c r="E431" t="s">
        <v>120</v>
      </c>
      <c r="F431" t="s">
        <v>150</v>
      </c>
      <c r="G431" t="s">
        <v>5</v>
      </c>
      <c r="H431">
        <v>7.9</v>
      </c>
      <c r="I431">
        <v>18</v>
      </c>
      <c r="J431">
        <v>182</v>
      </c>
      <c r="K431" t="s">
        <v>33</v>
      </c>
      <c r="L431" t="s">
        <v>49</v>
      </c>
      <c r="M431" t="s">
        <v>44</v>
      </c>
      <c r="N431">
        <v>5</v>
      </c>
      <c r="O431">
        <v>4.7</v>
      </c>
    </row>
    <row r="432" spans="1:15" x14ac:dyDescent="0.3">
      <c r="A432" t="s">
        <v>1004</v>
      </c>
      <c r="B432" t="s">
        <v>144</v>
      </c>
      <c r="C432" t="s">
        <v>219</v>
      </c>
      <c r="D432" t="s">
        <v>61</v>
      </c>
      <c r="E432" t="s">
        <v>183</v>
      </c>
      <c r="F432" t="s">
        <v>191</v>
      </c>
      <c r="G432" t="s">
        <v>2</v>
      </c>
      <c r="H432">
        <v>10.199999999999999</v>
      </c>
      <c r="I432">
        <v>18</v>
      </c>
      <c r="J432">
        <v>150</v>
      </c>
      <c r="K432" t="s">
        <v>56</v>
      </c>
      <c r="L432" t="s">
        <v>78</v>
      </c>
      <c r="M432" t="s">
        <v>44</v>
      </c>
      <c r="N432">
        <v>4.9000000000000004</v>
      </c>
      <c r="O432">
        <v>4.8</v>
      </c>
    </row>
    <row r="433" spans="1:15" x14ac:dyDescent="0.3">
      <c r="A433" t="s">
        <v>1005</v>
      </c>
      <c r="B433" t="s">
        <v>205</v>
      </c>
      <c r="C433" t="s">
        <v>414</v>
      </c>
      <c r="D433" t="s">
        <v>81</v>
      </c>
      <c r="E433" t="s">
        <v>90</v>
      </c>
      <c r="F433" t="s">
        <v>91</v>
      </c>
      <c r="G433" t="s">
        <v>5</v>
      </c>
      <c r="H433">
        <v>4.2</v>
      </c>
      <c r="I433">
        <v>14</v>
      </c>
      <c r="J433">
        <v>163</v>
      </c>
      <c r="K433" t="s">
        <v>33</v>
      </c>
      <c r="L433" t="s">
        <v>71</v>
      </c>
      <c r="M433" t="s">
        <v>44</v>
      </c>
      <c r="N433">
        <v>4.7</v>
      </c>
      <c r="O433">
        <v>4.8</v>
      </c>
    </row>
    <row r="434" spans="1:15" x14ac:dyDescent="0.3">
      <c r="A434" t="s">
        <v>1006</v>
      </c>
      <c r="B434" t="s">
        <v>205</v>
      </c>
      <c r="C434" t="s">
        <v>706</v>
      </c>
      <c r="D434" t="s">
        <v>106</v>
      </c>
      <c r="E434" t="s">
        <v>126</v>
      </c>
      <c r="F434" t="s">
        <v>187</v>
      </c>
      <c r="G434" t="s">
        <v>6</v>
      </c>
      <c r="H434">
        <v>13.1</v>
      </c>
      <c r="I434">
        <v>22</v>
      </c>
      <c r="J434">
        <v>249</v>
      </c>
      <c r="K434" t="s">
        <v>33</v>
      </c>
      <c r="L434" t="s">
        <v>49</v>
      </c>
      <c r="M434" t="s">
        <v>44</v>
      </c>
      <c r="N434">
        <v>4.8</v>
      </c>
      <c r="O434">
        <v>4.8</v>
      </c>
    </row>
    <row r="435" spans="1:15" x14ac:dyDescent="0.3">
      <c r="A435" t="s">
        <v>1007</v>
      </c>
      <c r="B435" t="s">
        <v>468</v>
      </c>
      <c r="C435" t="s">
        <v>656</v>
      </c>
      <c r="D435" t="s">
        <v>68</v>
      </c>
      <c r="E435" t="s">
        <v>69</v>
      </c>
      <c r="F435" t="s">
        <v>195</v>
      </c>
      <c r="G435" t="s">
        <v>4</v>
      </c>
      <c r="H435">
        <v>6.3</v>
      </c>
      <c r="I435">
        <v>14</v>
      </c>
      <c r="J435">
        <v>235</v>
      </c>
      <c r="K435" t="s">
        <v>33</v>
      </c>
      <c r="L435" t="s">
        <v>78</v>
      </c>
      <c r="M435" t="s">
        <v>44</v>
      </c>
      <c r="N435">
        <v>4.8</v>
      </c>
      <c r="O435">
        <v>4.7</v>
      </c>
    </row>
    <row r="436" spans="1:15" x14ac:dyDescent="0.3">
      <c r="A436" t="s">
        <v>1008</v>
      </c>
      <c r="B436" t="s">
        <v>927</v>
      </c>
      <c r="C436" t="s">
        <v>1009</v>
      </c>
      <c r="D436" t="s">
        <v>106</v>
      </c>
      <c r="E436" t="s">
        <v>108</v>
      </c>
      <c r="F436" t="s">
        <v>443</v>
      </c>
      <c r="G436" t="s">
        <v>7</v>
      </c>
      <c r="H436">
        <v>5.4</v>
      </c>
      <c r="I436">
        <v>13</v>
      </c>
      <c r="J436">
        <v>186</v>
      </c>
      <c r="K436" t="s">
        <v>33</v>
      </c>
      <c r="L436" t="s">
        <v>43</v>
      </c>
      <c r="M436" t="s">
        <v>44</v>
      </c>
      <c r="N436">
        <v>4.4000000000000004</v>
      </c>
      <c r="O436">
        <v>5</v>
      </c>
    </row>
    <row r="437" spans="1:15" x14ac:dyDescent="0.3">
      <c r="A437" t="s">
        <v>1010</v>
      </c>
      <c r="B437" t="s">
        <v>309</v>
      </c>
      <c r="C437" t="s">
        <v>1011</v>
      </c>
      <c r="D437" t="s">
        <v>68</v>
      </c>
      <c r="E437" t="s">
        <v>130</v>
      </c>
      <c r="F437" t="s">
        <v>210</v>
      </c>
      <c r="G437" t="s">
        <v>2</v>
      </c>
      <c r="H437">
        <v>4.2</v>
      </c>
      <c r="I437">
        <v>16</v>
      </c>
      <c r="J437">
        <v>79</v>
      </c>
      <c r="K437" t="s">
        <v>375</v>
      </c>
      <c r="L437" t="s">
        <v>34</v>
      </c>
      <c r="M437" t="s">
        <v>35</v>
      </c>
      <c r="N437">
        <v>4.5999999999999996</v>
      </c>
      <c r="O437">
        <v>4.7</v>
      </c>
    </row>
    <row r="438" spans="1:15" x14ac:dyDescent="0.3">
      <c r="A438" t="s">
        <v>1012</v>
      </c>
      <c r="B438" t="s">
        <v>264</v>
      </c>
      <c r="C438" t="s">
        <v>1013</v>
      </c>
      <c r="D438" t="s">
        <v>106</v>
      </c>
      <c r="E438" t="s">
        <v>126</v>
      </c>
      <c r="F438" t="s">
        <v>290</v>
      </c>
      <c r="G438" t="s">
        <v>2</v>
      </c>
      <c r="H438">
        <v>3.2</v>
      </c>
      <c r="I438">
        <v>9</v>
      </c>
      <c r="J438">
        <v>78</v>
      </c>
      <c r="K438" t="s">
        <v>42</v>
      </c>
      <c r="L438" t="s">
        <v>49</v>
      </c>
      <c r="M438" t="s">
        <v>44</v>
      </c>
      <c r="N438">
        <v>4.9000000000000004</v>
      </c>
      <c r="O438">
        <v>4.8</v>
      </c>
    </row>
    <row r="439" spans="1:15" x14ac:dyDescent="0.3">
      <c r="A439" t="s">
        <v>1014</v>
      </c>
      <c r="B439" t="s">
        <v>166</v>
      </c>
      <c r="C439" t="s">
        <v>1015</v>
      </c>
      <c r="D439" t="s">
        <v>158</v>
      </c>
      <c r="E439" t="s">
        <v>159</v>
      </c>
      <c r="F439" t="s">
        <v>316</v>
      </c>
      <c r="G439" t="s">
        <v>6</v>
      </c>
      <c r="H439">
        <v>14.1</v>
      </c>
      <c r="I439">
        <v>46</v>
      </c>
      <c r="J439">
        <v>371</v>
      </c>
      <c r="K439" t="s">
        <v>33</v>
      </c>
      <c r="L439" t="s">
        <v>64</v>
      </c>
      <c r="M439" t="s">
        <v>44</v>
      </c>
      <c r="N439">
        <v>5</v>
      </c>
      <c r="O439">
        <v>4.8</v>
      </c>
    </row>
    <row r="440" spans="1:15" x14ac:dyDescent="0.3">
      <c r="A440" t="s">
        <v>1016</v>
      </c>
      <c r="B440" t="s">
        <v>37</v>
      </c>
      <c r="C440" t="s">
        <v>474</v>
      </c>
      <c r="D440" t="s">
        <v>75</v>
      </c>
      <c r="E440" t="s">
        <v>239</v>
      </c>
      <c r="F440" t="s">
        <v>230</v>
      </c>
      <c r="G440" t="s">
        <v>5</v>
      </c>
      <c r="H440">
        <v>18.8</v>
      </c>
      <c r="I440">
        <v>45</v>
      </c>
      <c r="J440">
        <v>373</v>
      </c>
      <c r="K440" t="s">
        <v>33</v>
      </c>
      <c r="L440" t="s">
        <v>78</v>
      </c>
      <c r="M440" t="s">
        <v>44</v>
      </c>
      <c r="N440">
        <v>4.8</v>
      </c>
      <c r="O440">
        <v>4.9000000000000004</v>
      </c>
    </row>
    <row r="441" spans="1:15" x14ac:dyDescent="0.3">
      <c r="A441" t="s">
        <v>1017</v>
      </c>
      <c r="B441" t="s">
        <v>453</v>
      </c>
      <c r="C441" t="s">
        <v>1018</v>
      </c>
      <c r="D441" t="s">
        <v>81</v>
      </c>
      <c r="E441" t="s">
        <v>268</v>
      </c>
      <c r="F441" t="s">
        <v>201</v>
      </c>
      <c r="G441" t="s">
        <v>5</v>
      </c>
      <c r="H441">
        <v>3.3</v>
      </c>
      <c r="I441">
        <v>15</v>
      </c>
      <c r="J441">
        <v>135</v>
      </c>
      <c r="K441" t="s">
        <v>102</v>
      </c>
      <c r="L441" t="s">
        <v>64</v>
      </c>
      <c r="M441" t="s">
        <v>44</v>
      </c>
      <c r="N441">
        <v>4.4000000000000004</v>
      </c>
      <c r="O441">
        <v>5</v>
      </c>
    </row>
    <row r="442" spans="1:15" x14ac:dyDescent="0.3">
      <c r="A442" t="s">
        <v>1019</v>
      </c>
      <c r="B442" t="s">
        <v>300</v>
      </c>
      <c r="C442" t="s">
        <v>1020</v>
      </c>
      <c r="D442" t="s">
        <v>61</v>
      </c>
      <c r="E442" t="s">
        <v>328</v>
      </c>
      <c r="F442" t="s">
        <v>183</v>
      </c>
      <c r="G442" t="s">
        <v>4</v>
      </c>
      <c r="H442">
        <v>18.2</v>
      </c>
      <c r="I442">
        <v>36</v>
      </c>
      <c r="J442">
        <v>509</v>
      </c>
      <c r="K442" t="s">
        <v>33</v>
      </c>
      <c r="L442" t="s">
        <v>49</v>
      </c>
      <c r="M442" t="s">
        <v>44</v>
      </c>
      <c r="N442">
        <v>4.5</v>
      </c>
      <c r="O442">
        <v>5</v>
      </c>
    </row>
    <row r="443" spans="1:15" x14ac:dyDescent="0.3">
      <c r="A443" t="s">
        <v>1021</v>
      </c>
      <c r="B443" t="s">
        <v>185</v>
      </c>
      <c r="C443" t="s">
        <v>1022</v>
      </c>
      <c r="D443" t="s">
        <v>39</v>
      </c>
      <c r="E443" t="s">
        <v>155</v>
      </c>
      <c r="F443" t="s">
        <v>484</v>
      </c>
      <c r="G443" t="s">
        <v>7</v>
      </c>
      <c r="H443">
        <v>8.8000000000000007</v>
      </c>
      <c r="I443">
        <v>29</v>
      </c>
      <c r="J443">
        <v>315</v>
      </c>
      <c r="K443" t="s">
        <v>102</v>
      </c>
      <c r="L443" t="s">
        <v>71</v>
      </c>
      <c r="M443" t="s">
        <v>44</v>
      </c>
      <c r="N443">
        <v>4.7</v>
      </c>
      <c r="O443">
        <v>4.8</v>
      </c>
    </row>
    <row r="444" spans="1:15" x14ac:dyDescent="0.3">
      <c r="A444" t="s">
        <v>1023</v>
      </c>
      <c r="B444" t="s">
        <v>349</v>
      </c>
      <c r="C444" t="s">
        <v>1024</v>
      </c>
      <c r="D444" t="s">
        <v>81</v>
      </c>
      <c r="E444" t="s">
        <v>351</v>
      </c>
      <c r="F444" t="s">
        <v>83</v>
      </c>
      <c r="G444" t="s">
        <v>4</v>
      </c>
      <c r="H444">
        <v>19</v>
      </c>
      <c r="I444">
        <v>45</v>
      </c>
      <c r="J444">
        <v>608</v>
      </c>
      <c r="K444" t="s">
        <v>192</v>
      </c>
      <c r="L444" t="s">
        <v>71</v>
      </c>
      <c r="M444" t="s">
        <v>44</v>
      </c>
      <c r="N444">
        <v>4.5999999999999996</v>
      </c>
      <c r="O444">
        <v>4.8</v>
      </c>
    </row>
    <row r="445" spans="1:15" x14ac:dyDescent="0.3">
      <c r="A445" t="s">
        <v>1025</v>
      </c>
      <c r="B445" t="s">
        <v>349</v>
      </c>
      <c r="C445" t="s">
        <v>1026</v>
      </c>
      <c r="D445" t="s">
        <v>81</v>
      </c>
      <c r="E445" t="s">
        <v>351</v>
      </c>
      <c r="F445" t="s">
        <v>90</v>
      </c>
      <c r="G445" t="s">
        <v>6</v>
      </c>
      <c r="H445">
        <v>10</v>
      </c>
      <c r="I445">
        <v>28</v>
      </c>
      <c r="J445">
        <v>207</v>
      </c>
      <c r="K445" t="s">
        <v>33</v>
      </c>
      <c r="L445" t="s">
        <v>78</v>
      </c>
      <c r="M445" t="s">
        <v>44</v>
      </c>
      <c r="N445">
        <v>4.5</v>
      </c>
      <c r="O445">
        <v>4.9000000000000004</v>
      </c>
    </row>
    <row r="446" spans="1:15" x14ac:dyDescent="0.3">
      <c r="A446" t="s">
        <v>1027</v>
      </c>
      <c r="B446" t="s">
        <v>185</v>
      </c>
      <c r="C446" t="s">
        <v>1028</v>
      </c>
      <c r="D446" t="s">
        <v>53</v>
      </c>
      <c r="E446" t="s">
        <v>221</v>
      </c>
      <c r="F446" t="s">
        <v>236</v>
      </c>
      <c r="G446" t="s">
        <v>4</v>
      </c>
      <c r="H446">
        <v>9.6</v>
      </c>
      <c r="I446">
        <v>10</v>
      </c>
      <c r="J446">
        <v>326</v>
      </c>
      <c r="K446" t="s">
        <v>33</v>
      </c>
      <c r="L446" t="s">
        <v>34</v>
      </c>
      <c r="M446" t="s">
        <v>35</v>
      </c>
      <c r="N446">
        <v>4.3</v>
      </c>
      <c r="O446">
        <v>4.9000000000000004</v>
      </c>
    </row>
    <row r="447" spans="1:15" x14ac:dyDescent="0.3">
      <c r="A447" t="s">
        <v>1029</v>
      </c>
      <c r="B447" t="s">
        <v>189</v>
      </c>
      <c r="C447" t="s">
        <v>1030</v>
      </c>
      <c r="D447" t="s">
        <v>158</v>
      </c>
      <c r="E447" t="s">
        <v>316</v>
      </c>
      <c r="F447" t="s">
        <v>334</v>
      </c>
      <c r="G447" t="s">
        <v>7</v>
      </c>
      <c r="H447">
        <v>2.7</v>
      </c>
      <c r="I447">
        <v>7</v>
      </c>
      <c r="J447">
        <v>158</v>
      </c>
      <c r="K447" t="s">
        <v>33</v>
      </c>
      <c r="L447" t="s">
        <v>71</v>
      </c>
      <c r="M447" t="s">
        <v>44</v>
      </c>
      <c r="N447">
        <v>4.9000000000000004</v>
      </c>
      <c r="O447">
        <v>5</v>
      </c>
    </row>
    <row r="448" spans="1:15" x14ac:dyDescent="0.3">
      <c r="A448" t="s">
        <v>1031</v>
      </c>
      <c r="B448" t="s">
        <v>441</v>
      </c>
      <c r="C448" t="s">
        <v>466</v>
      </c>
      <c r="D448" t="s">
        <v>39</v>
      </c>
      <c r="E448" t="s">
        <v>484</v>
      </c>
      <c r="F448" t="s">
        <v>48</v>
      </c>
      <c r="G448" t="s">
        <v>6</v>
      </c>
      <c r="H448">
        <v>2.1</v>
      </c>
      <c r="I448">
        <v>5</v>
      </c>
      <c r="J448">
        <v>117</v>
      </c>
      <c r="K448" t="s">
        <v>33</v>
      </c>
      <c r="L448" t="s">
        <v>43</v>
      </c>
      <c r="M448" t="s">
        <v>44</v>
      </c>
      <c r="N448">
        <v>4.7</v>
      </c>
      <c r="O448">
        <v>4.9000000000000004</v>
      </c>
    </row>
    <row r="449" spans="1:15" x14ac:dyDescent="0.3">
      <c r="A449" t="s">
        <v>1032</v>
      </c>
      <c r="B449" t="s">
        <v>228</v>
      </c>
      <c r="C449" t="s">
        <v>1033</v>
      </c>
      <c r="D449" t="s">
        <v>106</v>
      </c>
      <c r="E449" t="s">
        <v>108</v>
      </c>
      <c r="F449" t="s">
        <v>290</v>
      </c>
      <c r="G449" t="s">
        <v>6</v>
      </c>
      <c r="H449">
        <v>14.7</v>
      </c>
      <c r="I449">
        <v>31</v>
      </c>
      <c r="J449">
        <v>345</v>
      </c>
      <c r="K449" t="s">
        <v>56</v>
      </c>
      <c r="L449" t="s">
        <v>43</v>
      </c>
      <c r="M449" t="s">
        <v>44</v>
      </c>
      <c r="N449">
        <v>4.7</v>
      </c>
      <c r="O449">
        <v>5</v>
      </c>
    </row>
    <row r="450" spans="1:15" x14ac:dyDescent="0.3">
      <c r="A450" t="s">
        <v>1034</v>
      </c>
      <c r="B450" t="s">
        <v>140</v>
      </c>
      <c r="C450" t="s">
        <v>496</v>
      </c>
      <c r="D450" t="s">
        <v>68</v>
      </c>
      <c r="E450" t="s">
        <v>70</v>
      </c>
      <c r="F450" t="s">
        <v>150</v>
      </c>
      <c r="G450" t="s">
        <v>5</v>
      </c>
      <c r="H450">
        <v>9.1999999999999993</v>
      </c>
      <c r="I450">
        <v>22</v>
      </c>
      <c r="J450">
        <v>260</v>
      </c>
      <c r="K450" t="s">
        <v>102</v>
      </c>
      <c r="L450" t="s">
        <v>64</v>
      </c>
      <c r="M450" t="s">
        <v>44</v>
      </c>
      <c r="N450">
        <v>4.7</v>
      </c>
      <c r="O450">
        <v>5</v>
      </c>
    </row>
    <row r="451" spans="1:15" x14ac:dyDescent="0.3">
      <c r="A451" t="s">
        <v>1035</v>
      </c>
      <c r="B451" t="s">
        <v>128</v>
      </c>
      <c r="C451" t="s">
        <v>601</v>
      </c>
      <c r="D451" t="s">
        <v>61</v>
      </c>
      <c r="E451" t="s">
        <v>62</v>
      </c>
      <c r="F451" t="s">
        <v>95</v>
      </c>
      <c r="G451" t="s">
        <v>2</v>
      </c>
      <c r="H451">
        <v>9.3000000000000007</v>
      </c>
      <c r="I451">
        <v>30</v>
      </c>
      <c r="J451">
        <v>154</v>
      </c>
      <c r="K451" t="s">
        <v>102</v>
      </c>
      <c r="L451" t="s">
        <v>34</v>
      </c>
      <c r="M451" t="s">
        <v>35</v>
      </c>
      <c r="N451">
        <v>4.2</v>
      </c>
      <c r="O451">
        <v>5</v>
      </c>
    </row>
    <row r="452" spans="1:15" x14ac:dyDescent="0.3">
      <c r="A452" t="s">
        <v>1036</v>
      </c>
      <c r="B452" t="s">
        <v>166</v>
      </c>
      <c r="C452" t="s">
        <v>1037</v>
      </c>
      <c r="D452" t="s">
        <v>61</v>
      </c>
      <c r="E452" t="s">
        <v>116</v>
      </c>
      <c r="F452" t="s">
        <v>62</v>
      </c>
      <c r="G452" t="s">
        <v>6</v>
      </c>
      <c r="H452">
        <v>6.1</v>
      </c>
      <c r="I452">
        <v>21</v>
      </c>
      <c r="J452">
        <v>145</v>
      </c>
      <c r="K452" t="s">
        <v>102</v>
      </c>
      <c r="L452" t="s">
        <v>78</v>
      </c>
      <c r="M452" t="s">
        <v>44</v>
      </c>
      <c r="N452">
        <v>4.9000000000000004</v>
      </c>
      <c r="O452">
        <v>4.5999999999999996</v>
      </c>
    </row>
    <row r="453" spans="1:15" x14ac:dyDescent="0.3">
      <c r="A453" t="s">
        <v>1038</v>
      </c>
      <c r="B453" t="s">
        <v>330</v>
      </c>
      <c r="C453" t="s">
        <v>325</v>
      </c>
      <c r="D453" t="s">
        <v>39</v>
      </c>
      <c r="E453" t="s">
        <v>41</v>
      </c>
      <c r="F453" t="s">
        <v>48</v>
      </c>
      <c r="G453" t="s">
        <v>4</v>
      </c>
      <c r="H453">
        <v>6.7</v>
      </c>
      <c r="I453">
        <v>27</v>
      </c>
      <c r="J453">
        <v>278</v>
      </c>
      <c r="K453" t="s">
        <v>33</v>
      </c>
      <c r="L453" t="s">
        <v>71</v>
      </c>
      <c r="M453" t="s">
        <v>44</v>
      </c>
      <c r="N453">
        <v>5</v>
      </c>
      <c r="O453">
        <v>5</v>
      </c>
    </row>
    <row r="454" spans="1:15" x14ac:dyDescent="0.3">
      <c r="A454" t="s">
        <v>1039</v>
      </c>
      <c r="B454" t="s">
        <v>174</v>
      </c>
      <c r="C454" t="s">
        <v>1040</v>
      </c>
      <c r="D454" t="s">
        <v>53</v>
      </c>
      <c r="E454" t="s">
        <v>515</v>
      </c>
      <c r="F454" t="s">
        <v>405</v>
      </c>
      <c r="G454" t="s">
        <v>3</v>
      </c>
      <c r="H454">
        <v>9.6999999999999993</v>
      </c>
      <c r="I454">
        <v>21</v>
      </c>
      <c r="J454">
        <v>515</v>
      </c>
      <c r="K454" t="s">
        <v>102</v>
      </c>
      <c r="L454" t="s">
        <v>71</v>
      </c>
      <c r="M454" t="s">
        <v>44</v>
      </c>
      <c r="N454">
        <v>5</v>
      </c>
      <c r="O454">
        <v>4.7</v>
      </c>
    </row>
    <row r="455" spans="1:15" x14ac:dyDescent="0.3">
      <c r="A455" t="s">
        <v>1041</v>
      </c>
      <c r="B455" t="s">
        <v>270</v>
      </c>
      <c r="C455" t="s">
        <v>1042</v>
      </c>
      <c r="D455" t="s">
        <v>39</v>
      </c>
      <c r="E455" t="s">
        <v>154</v>
      </c>
      <c r="F455" t="s">
        <v>356</v>
      </c>
      <c r="G455" t="s">
        <v>3</v>
      </c>
      <c r="H455">
        <v>10.6</v>
      </c>
      <c r="I455">
        <v>24</v>
      </c>
      <c r="J455">
        <v>478</v>
      </c>
      <c r="K455" t="s">
        <v>42</v>
      </c>
      <c r="L455" t="s">
        <v>78</v>
      </c>
      <c r="M455" t="s">
        <v>44</v>
      </c>
      <c r="N455">
        <v>4.8</v>
      </c>
      <c r="O455">
        <v>4.5999999999999996</v>
      </c>
    </row>
    <row r="456" spans="1:15" x14ac:dyDescent="0.3">
      <c r="A456" t="s">
        <v>1043</v>
      </c>
      <c r="B456" t="s">
        <v>370</v>
      </c>
      <c r="C456" t="s">
        <v>238</v>
      </c>
      <c r="D456" t="s">
        <v>61</v>
      </c>
      <c r="E456" t="s">
        <v>96</v>
      </c>
      <c r="F456" t="s">
        <v>328</v>
      </c>
      <c r="G456" t="s">
        <v>4</v>
      </c>
      <c r="H456">
        <v>6.6</v>
      </c>
      <c r="I456">
        <v>19</v>
      </c>
      <c r="J456">
        <v>231</v>
      </c>
      <c r="K456" t="s">
        <v>42</v>
      </c>
      <c r="L456" t="s">
        <v>49</v>
      </c>
      <c r="M456" t="s">
        <v>44</v>
      </c>
      <c r="N456">
        <v>5</v>
      </c>
      <c r="O456">
        <v>4.5999999999999996</v>
      </c>
    </row>
    <row r="457" spans="1:15" x14ac:dyDescent="0.3">
      <c r="A457" t="s">
        <v>1044</v>
      </c>
      <c r="B457" t="s">
        <v>66</v>
      </c>
      <c r="C457" t="s">
        <v>1045</v>
      </c>
      <c r="D457" t="s">
        <v>75</v>
      </c>
      <c r="E457" t="s">
        <v>239</v>
      </c>
      <c r="F457" t="s">
        <v>313</v>
      </c>
      <c r="G457" t="s">
        <v>6</v>
      </c>
      <c r="H457">
        <v>1.7</v>
      </c>
      <c r="I457">
        <v>8</v>
      </c>
      <c r="J457">
        <v>78</v>
      </c>
      <c r="K457" t="s">
        <v>33</v>
      </c>
      <c r="L457" t="s">
        <v>43</v>
      </c>
      <c r="M457" t="s">
        <v>44</v>
      </c>
      <c r="N457">
        <v>4.5999999999999996</v>
      </c>
      <c r="O457">
        <v>4.8</v>
      </c>
    </row>
    <row r="458" spans="1:15" x14ac:dyDescent="0.3">
      <c r="A458" t="s">
        <v>1046</v>
      </c>
      <c r="B458" t="s">
        <v>468</v>
      </c>
      <c r="C458" t="s">
        <v>442</v>
      </c>
      <c r="D458" t="s">
        <v>53</v>
      </c>
      <c r="E458" t="s">
        <v>221</v>
      </c>
      <c r="F458" t="s">
        <v>515</v>
      </c>
      <c r="G458" t="s">
        <v>2</v>
      </c>
      <c r="H458">
        <v>5.0999999999999996</v>
      </c>
      <c r="I458">
        <v>5</v>
      </c>
      <c r="J458">
        <v>124</v>
      </c>
      <c r="K458" t="s">
        <v>33</v>
      </c>
      <c r="L458" t="s">
        <v>43</v>
      </c>
      <c r="M458" t="s">
        <v>44</v>
      </c>
      <c r="N458">
        <v>4.7</v>
      </c>
      <c r="O458">
        <v>4.9000000000000004</v>
      </c>
    </row>
    <row r="459" spans="1:15" x14ac:dyDescent="0.3">
      <c r="A459" t="s">
        <v>1047</v>
      </c>
      <c r="B459" t="s">
        <v>476</v>
      </c>
      <c r="C459" t="s">
        <v>1048</v>
      </c>
      <c r="D459" t="s">
        <v>39</v>
      </c>
      <c r="E459" t="s">
        <v>155</v>
      </c>
      <c r="F459" t="s">
        <v>154</v>
      </c>
      <c r="G459" t="s">
        <v>4</v>
      </c>
      <c r="H459">
        <v>10.199999999999999</v>
      </c>
      <c r="I459">
        <v>28</v>
      </c>
      <c r="J459">
        <v>350</v>
      </c>
      <c r="K459" t="s">
        <v>33</v>
      </c>
      <c r="L459" t="s">
        <v>49</v>
      </c>
      <c r="M459" t="s">
        <v>44</v>
      </c>
      <c r="N459">
        <v>4.2</v>
      </c>
      <c r="O459">
        <v>4.9000000000000004</v>
      </c>
    </row>
    <row r="460" spans="1:15" x14ac:dyDescent="0.3">
      <c r="A460" t="s">
        <v>1049</v>
      </c>
      <c r="B460" t="s">
        <v>218</v>
      </c>
      <c r="C460" t="s">
        <v>613</v>
      </c>
      <c r="D460" t="s">
        <v>75</v>
      </c>
      <c r="E460" t="s">
        <v>77</v>
      </c>
      <c r="F460" t="s">
        <v>578</v>
      </c>
      <c r="G460" t="s">
        <v>3</v>
      </c>
      <c r="H460">
        <v>3.4</v>
      </c>
      <c r="I460">
        <v>13</v>
      </c>
      <c r="J460">
        <v>271</v>
      </c>
      <c r="K460" t="s">
        <v>33</v>
      </c>
      <c r="L460" t="s">
        <v>64</v>
      </c>
      <c r="M460" t="s">
        <v>44</v>
      </c>
      <c r="N460">
        <v>4.7</v>
      </c>
      <c r="O460">
        <v>4.5</v>
      </c>
    </row>
    <row r="461" spans="1:15" x14ac:dyDescent="0.3">
      <c r="A461" t="s">
        <v>1050</v>
      </c>
      <c r="B461" t="s">
        <v>128</v>
      </c>
      <c r="C461" t="s">
        <v>1051</v>
      </c>
      <c r="D461" t="s">
        <v>39</v>
      </c>
      <c r="E461" t="s">
        <v>155</v>
      </c>
      <c r="F461" t="s">
        <v>40</v>
      </c>
      <c r="G461" t="s">
        <v>5</v>
      </c>
      <c r="H461">
        <v>10.4</v>
      </c>
      <c r="I461">
        <v>33</v>
      </c>
      <c r="J461">
        <v>282</v>
      </c>
      <c r="K461" t="s">
        <v>102</v>
      </c>
      <c r="L461" t="s">
        <v>34</v>
      </c>
      <c r="M461" t="s">
        <v>35</v>
      </c>
      <c r="N461">
        <v>4.4000000000000004</v>
      </c>
      <c r="O461">
        <v>4.9000000000000004</v>
      </c>
    </row>
    <row r="462" spans="1:15" x14ac:dyDescent="0.3">
      <c r="A462" t="s">
        <v>1052</v>
      </c>
      <c r="B462" t="s">
        <v>410</v>
      </c>
      <c r="C462" t="s">
        <v>1053</v>
      </c>
      <c r="D462" t="s">
        <v>30</v>
      </c>
      <c r="E462" t="s">
        <v>100</v>
      </c>
      <c r="F462" t="s">
        <v>142</v>
      </c>
      <c r="G462" t="s">
        <v>6</v>
      </c>
      <c r="H462">
        <v>10</v>
      </c>
      <c r="I462">
        <v>26</v>
      </c>
      <c r="J462">
        <v>192</v>
      </c>
      <c r="K462" t="s">
        <v>56</v>
      </c>
      <c r="L462" t="s">
        <v>64</v>
      </c>
      <c r="M462" t="s">
        <v>44</v>
      </c>
      <c r="N462">
        <v>4.7</v>
      </c>
      <c r="O462">
        <v>4.5999999999999996</v>
      </c>
    </row>
    <row r="463" spans="1:15" x14ac:dyDescent="0.3">
      <c r="A463" t="s">
        <v>1054</v>
      </c>
      <c r="B463" t="s">
        <v>330</v>
      </c>
      <c r="C463" t="s">
        <v>1055</v>
      </c>
      <c r="D463" t="s">
        <v>106</v>
      </c>
      <c r="E463" t="s">
        <v>290</v>
      </c>
      <c r="F463" t="s">
        <v>443</v>
      </c>
      <c r="G463" t="s">
        <v>6</v>
      </c>
      <c r="H463">
        <v>3.4</v>
      </c>
      <c r="I463">
        <v>7</v>
      </c>
      <c r="J463">
        <v>105</v>
      </c>
      <c r="K463" t="s">
        <v>102</v>
      </c>
      <c r="L463" t="s">
        <v>71</v>
      </c>
      <c r="M463" t="s">
        <v>44</v>
      </c>
      <c r="N463">
        <v>5</v>
      </c>
      <c r="O463">
        <v>4.9000000000000004</v>
      </c>
    </row>
    <row r="464" spans="1:15" x14ac:dyDescent="0.3">
      <c r="A464" t="s">
        <v>1056</v>
      </c>
      <c r="B464" t="s">
        <v>422</v>
      </c>
      <c r="C464" t="s">
        <v>1057</v>
      </c>
      <c r="D464" t="s">
        <v>81</v>
      </c>
      <c r="E464" t="s">
        <v>90</v>
      </c>
      <c r="F464" t="s">
        <v>91</v>
      </c>
      <c r="G464" t="s">
        <v>2</v>
      </c>
      <c r="H464">
        <v>4.7</v>
      </c>
      <c r="I464">
        <v>19</v>
      </c>
      <c r="J464">
        <v>94</v>
      </c>
      <c r="K464" t="s">
        <v>33</v>
      </c>
      <c r="L464" t="s">
        <v>57</v>
      </c>
      <c r="M464" t="s">
        <v>35</v>
      </c>
      <c r="N464">
        <v>4.5999999999999996</v>
      </c>
      <c r="O464">
        <v>4.9000000000000004</v>
      </c>
    </row>
    <row r="465" spans="1:15" x14ac:dyDescent="0.3">
      <c r="A465" t="s">
        <v>1058</v>
      </c>
      <c r="B465" t="s">
        <v>808</v>
      </c>
      <c r="C465" t="s">
        <v>1059</v>
      </c>
      <c r="D465" t="s">
        <v>39</v>
      </c>
      <c r="E465" t="s">
        <v>278</v>
      </c>
      <c r="F465" t="s">
        <v>155</v>
      </c>
      <c r="G465" t="s">
        <v>6</v>
      </c>
      <c r="H465">
        <v>5.2</v>
      </c>
      <c r="I465">
        <v>20</v>
      </c>
      <c r="J465">
        <v>120</v>
      </c>
      <c r="K465" t="s">
        <v>102</v>
      </c>
      <c r="L465" t="s">
        <v>43</v>
      </c>
      <c r="M465" t="s">
        <v>44</v>
      </c>
      <c r="N465">
        <v>4.7</v>
      </c>
      <c r="O465">
        <v>5</v>
      </c>
    </row>
    <row r="466" spans="1:15" x14ac:dyDescent="0.3">
      <c r="A466" t="s">
        <v>1060</v>
      </c>
      <c r="B466" t="s">
        <v>468</v>
      </c>
      <c r="C466" t="s">
        <v>625</v>
      </c>
      <c r="D466" t="s">
        <v>81</v>
      </c>
      <c r="E466" t="s">
        <v>82</v>
      </c>
      <c r="F466" t="s">
        <v>134</v>
      </c>
      <c r="G466" t="s">
        <v>2</v>
      </c>
      <c r="H466">
        <v>7.6</v>
      </c>
      <c r="I466">
        <v>16</v>
      </c>
      <c r="J466">
        <v>167</v>
      </c>
      <c r="K466" t="s">
        <v>42</v>
      </c>
      <c r="L466" t="s">
        <v>64</v>
      </c>
      <c r="M466" t="s">
        <v>44</v>
      </c>
      <c r="N466">
        <v>4.9000000000000004</v>
      </c>
      <c r="O466">
        <v>5</v>
      </c>
    </row>
    <row r="467" spans="1:15" x14ac:dyDescent="0.3">
      <c r="A467" t="s">
        <v>1061</v>
      </c>
      <c r="B467" t="s">
        <v>246</v>
      </c>
      <c r="C467" t="s">
        <v>1042</v>
      </c>
      <c r="D467" t="s">
        <v>68</v>
      </c>
      <c r="E467" t="s">
        <v>172</v>
      </c>
      <c r="F467" t="s">
        <v>150</v>
      </c>
      <c r="G467" t="s">
        <v>2</v>
      </c>
      <c r="H467">
        <v>10.4</v>
      </c>
      <c r="I467">
        <v>18</v>
      </c>
      <c r="J467">
        <v>192</v>
      </c>
      <c r="K467" t="s">
        <v>192</v>
      </c>
      <c r="L467" t="s">
        <v>78</v>
      </c>
      <c r="M467" t="s">
        <v>44</v>
      </c>
      <c r="N467">
        <v>4.5</v>
      </c>
      <c r="O467">
        <v>4.9000000000000004</v>
      </c>
    </row>
    <row r="468" spans="1:15" x14ac:dyDescent="0.3">
      <c r="A468" t="s">
        <v>1062</v>
      </c>
      <c r="B468" t="s">
        <v>330</v>
      </c>
      <c r="C468" t="s">
        <v>1063</v>
      </c>
      <c r="D468" t="s">
        <v>39</v>
      </c>
      <c r="E468" t="s">
        <v>278</v>
      </c>
      <c r="F468" t="s">
        <v>41</v>
      </c>
      <c r="G468" t="s">
        <v>6</v>
      </c>
      <c r="H468">
        <v>6.5</v>
      </c>
      <c r="I468">
        <v>18</v>
      </c>
      <c r="J468">
        <v>194</v>
      </c>
      <c r="K468" t="s">
        <v>33</v>
      </c>
      <c r="L468" t="s">
        <v>43</v>
      </c>
      <c r="M468" t="s">
        <v>44</v>
      </c>
      <c r="N468">
        <v>4.9000000000000004</v>
      </c>
      <c r="O468">
        <v>4.7</v>
      </c>
    </row>
    <row r="469" spans="1:15" x14ac:dyDescent="0.3">
      <c r="A469" t="s">
        <v>1064</v>
      </c>
      <c r="B469" t="s">
        <v>397</v>
      </c>
      <c r="C469" t="s">
        <v>89</v>
      </c>
      <c r="D469" t="s">
        <v>39</v>
      </c>
      <c r="E469" t="s">
        <v>41</v>
      </c>
      <c r="F469" t="s">
        <v>40</v>
      </c>
      <c r="G469" t="s">
        <v>4</v>
      </c>
      <c r="H469">
        <v>2.8</v>
      </c>
      <c r="I469">
        <v>12</v>
      </c>
      <c r="J469">
        <v>167</v>
      </c>
      <c r="K469" t="s">
        <v>56</v>
      </c>
      <c r="L469" t="s">
        <v>71</v>
      </c>
      <c r="M469" t="s">
        <v>44</v>
      </c>
      <c r="N469">
        <v>5</v>
      </c>
      <c r="O469">
        <v>4.4000000000000004</v>
      </c>
    </row>
    <row r="470" spans="1:15" x14ac:dyDescent="0.3">
      <c r="A470" t="s">
        <v>1065</v>
      </c>
      <c r="B470" t="s">
        <v>647</v>
      </c>
      <c r="C470" t="s">
        <v>1066</v>
      </c>
      <c r="D470" t="s">
        <v>81</v>
      </c>
      <c r="E470" t="s">
        <v>90</v>
      </c>
      <c r="F470" t="s">
        <v>351</v>
      </c>
      <c r="G470" t="s">
        <v>6</v>
      </c>
      <c r="H470">
        <v>8.8000000000000007</v>
      </c>
      <c r="I470">
        <v>24</v>
      </c>
      <c r="J470">
        <v>284</v>
      </c>
      <c r="K470" t="s">
        <v>33</v>
      </c>
      <c r="L470" t="s">
        <v>64</v>
      </c>
      <c r="M470" t="s">
        <v>44</v>
      </c>
      <c r="N470">
        <v>4.8</v>
      </c>
      <c r="O470">
        <v>4.9000000000000004</v>
      </c>
    </row>
    <row r="471" spans="1:15" x14ac:dyDescent="0.3">
      <c r="A471" t="s">
        <v>1067</v>
      </c>
      <c r="B471" t="s">
        <v>562</v>
      </c>
      <c r="C471" t="s">
        <v>175</v>
      </c>
      <c r="D471" t="s">
        <v>75</v>
      </c>
      <c r="E471" t="s">
        <v>230</v>
      </c>
      <c r="F471" t="s">
        <v>146</v>
      </c>
      <c r="G471" t="s">
        <v>2</v>
      </c>
      <c r="H471">
        <v>10.6</v>
      </c>
      <c r="I471">
        <v>37</v>
      </c>
      <c r="J471">
        <v>144</v>
      </c>
      <c r="K471" t="s">
        <v>33</v>
      </c>
      <c r="L471" t="s">
        <v>78</v>
      </c>
      <c r="M471" t="s">
        <v>44</v>
      </c>
      <c r="N471">
        <v>4.9000000000000004</v>
      </c>
      <c r="O471">
        <v>4.9000000000000004</v>
      </c>
    </row>
    <row r="472" spans="1:15" x14ac:dyDescent="0.3">
      <c r="A472" t="s">
        <v>1068</v>
      </c>
      <c r="B472" t="s">
        <v>225</v>
      </c>
      <c r="C472" t="s">
        <v>345</v>
      </c>
      <c r="D472" t="s">
        <v>61</v>
      </c>
      <c r="E472" t="s">
        <v>63</v>
      </c>
      <c r="F472" t="s">
        <v>62</v>
      </c>
      <c r="G472" t="s">
        <v>2</v>
      </c>
      <c r="H472">
        <v>5.6</v>
      </c>
      <c r="I472">
        <v>16</v>
      </c>
      <c r="J472">
        <v>145</v>
      </c>
      <c r="K472" t="s">
        <v>102</v>
      </c>
      <c r="L472" t="s">
        <v>71</v>
      </c>
      <c r="M472" t="s">
        <v>44</v>
      </c>
      <c r="N472">
        <v>4.5999999999999996</v>
      </c>
      <c r="O472">
        <v>4.8</v>
      </c>
    </row>
    <row r="473" spans="1:15" x14ac:dyDescent="0.3">
      <c r="A473" t="s">
        <v>1069</v>
      </c>
      <c r="B473" t="s">
        <v>927</v>
      </c>
      <c r="C473" t="s">
        <v>1070</v>
      </c>
      <c r="D473" t="s">
        <v>106</v>
      </c>
      <c r="E473" t="s">
        <v>187</v>
      </c>
      <c r="F473" t="s">
        <v>126</v>
      </c>
      <c r="G473" t="s">
        <v>6</v>
      </c>
      <c r="H473">
        <v>3.6</v>
      </c>
      <c r="I473">
        <v>12</v>
      </c>
      <c r="J473">
        <v>161</v>
      </c>
      <c r="K473" t="s">
        <v>102</v>
      </c>
      <c r="L473" t="s">
        <v>43</v>
      </c>
      <c r="M473" t="s">
        <v>44</v>
      </c>
      <c r="N473">
        <v>4.5</v>
      </c>
      <c r="O473">
        <v>4.9000000000000004</v>
      </c>
    </row>
    <row r="474" spans="1:15" x14ac:dyDescent="0.3">
      <c r="A474" t="s">
        <v>1071</v>
      </c>
      <c r="B474" t="s">
        <v>177</v>
      </c>
      <c r="C474" t="s">
        <v>768</v>
      </c>
      <c r="D474" t="s">
        <v>75</v>
      </c>
      <c r="E474" t="s">
        <v>77</v>
      </c>
      <c r="F474" t="s">
        <v>230</v>
      </c>
      <c r="G474" t="s">
        <v>5</v>
      </c>
      <c r="H474">
        <v>2.5</v>
      </c>
      <c r="I474">
        <v>7</v>
      </c>
      <c r="J474">
        <v>103</v>
      </c>
      <c r="K474" t="s">
        <v>42</v>
      </c>
      <c r="L474" t="s">
        <v>49</v>
      </c>
      <c r="M474" t="s">
        <v>44</v>
      </c>
      <c r="N474">
        <v>4.5999999999999996</v>
      </c>
      <c r="O474">
        <v>4.5999999999999996</v>
      </c>
    </row>
    <row r="475" spans="1:15" x14ac:dyDescent="0.3">
      <c r="A475" t="s">
        <v>1072</v>
      </c>
      <c r="B475" t="s">
        <v>447</v>
      </c>
      <c r="C475" t="s">
        <v>1073</v>
      </c>
      <c r="D475" t="s">
        <v>53</v>
      </c>
      <c r="E475" t="s">
        <v>220</v>
      </c>
      <c r="F475" t="s">
        <v>54</v>
      </c>
      <c r="G475" t="s">
        <v>4</v>
      </c>
      <c r="H475">
        <v>13.5</v>
      </c>
      <c r="I475">
        <v>27</v>
      </c>
      <c r="J475">
        <v>385</v>
      </c>
      <c r="K475" t="s">
        <v>102</v>
      </c>
      <c r="L475" t="s">
        <v>49</v>
      </c>
      <c r="M475" t="s">
        <v>44</v>
      </c>
      <c r="N475">
        <v>4.5999999999999996</v>
      </c>
      <c r="O475">
        <v>5</v>
      </c>
    </row>
    <row r="476" spans="1:15" x14ac:dyDescent="0.3">
      <c r="A476" t="s">
        <v>1074</v>
      </c>
      <c r="B476" t="s">
        <v>243</v>
      </c>
      <c r="C476" t="s">
        <v>1075</v>
      </c>
      <c r="D476" t="s">
        <v>106</v>
      </c>
      <c r="E476" t="s">
        <v>126</v>
      </c>
      <c r="F476" t="s">
        <v>290</v>
      </c>
      <c r="G476" t="s">
        <v>6</v>
      </c>
      <c r="H476">
        <v>7.3</v>
      </c>
      <c r="I476">
        <v>17</v>
      </c>
      <c r="J476">
        <v>185</v>
      </c>
      <c r="K476" t="s">
        <v>33</v>
      </c>
      <c r="L476" t="s">
        <v>43</v>
      </c>
      <c r="M476" t="s">
        <v>44</v>
      </c>
      <c r="N476">
        <v>5</v>
      </c>
      <c r="O476">
        <v>4.4000000000000004</v>
      </c>
    </row>
    <row r="477" spans="1:15" x14ac:dyDescent="0.3">
      <c r="A477" t="s">
        <v>1076</v>
      </c>
      <c r="B477" t="s">
        <v>927</v>
      </c>
      <c r="C477" t="s">
        <v>1077</v>
      </c>
      <c r="D477" t="s">
        <v>39</v>
      </c>
      <c r="E477" t="s">
        <v>154</v>
      </c>
      <c r="F477" t="s">
        <v>278</v>
      </c>
      <c r="G477" t="s">
        <v>6</v>
      </c>
      <c r="H477">
        <v>10.4</v>
      </c>
      <c r="I477">
        <v>40</v>
      </c>
      <c r="J477">
        <v>241</v>
      </c>
      <c r="K477" t="s">
        <v>33</v>
      </c>
      <c r="L477" t="s">
        <v>34</v>
      </c>
      <c r="M477" t="s">
        <v>35</v>
      </c>
      <c r="N477">
        <v>4.5</v>
      </c>
      <c r="O477">
        <v>4.9000000000000004</v>
      </c>
    </row>
    <row r="478" spans="1:15" x14ac:dyDescent="0.3">
      <c r="A478" t="s">
        <v>1078</v>
      </c>
      <c r="B478" t="s">
        <v>545</v>
      </c>
      <c r="C478" t="s">
        <v>1079</v>
      </c>
      <c r="D478" t="s">
        <v>53</v>
      </c>
      <c r="E478" t="s">
        <v>220</v>
      </c>
      <c r="F478" t="s">
        <v>221</v>
      </c>
      <c r="G478" t="s">
        <v>6</v>
      </c>
      <c r="H478">
        <v>15.3</v>
      </c>
      <c r="I478">
        <v>43</v>
      </c>
      <c r="J478">
        <v>340</v>
      </c>
      <c r="K478" t="s">
        <v>33</v>
      </c>
      <c r="L478" t="s">
        <v>43</v>
      </c>
      <c r="M478" t="s">
        <v>44</v>
      </c>
      <c r="N478">
        <v>4.9000000000000004</v>
      </c>
      <c r="O478">
        <v>4.8</v>
      </c>
    </row>
    <row r="479" spans="1:15" x14ac:dyDescent="0.3">
      <c r="A479" t="s">
        <v>1080</v>
      </c>
      <c r="B479" t="s">
        <v>144</v>
      </c>
      <c r="C479" t="s">
        <v>1081</v>
      </c>
      <c r="D479" t="s">
        <v>81</v>
      </c>
      <c r="E479" t="s">
        <v>82</v>
      </c>
      <c r="F479" t="s">
        <v>201</v>
      </c>
      <c r="G479" t="s">
        <v>5</v>
      </c>
      <c r="H479">
        <v>5.5</v>
      </c>
      <c r="I479">
        <v>16</v>
      </c>
      <c r="J479">
        <v>199</v>
      </c>
      <c r="K479" t="s">
        <v>102</v>
      </c>
      <c r="L479" t="s">
        <v>71</v>
      </c>
      <c r="M479" t="s">
        <v>44</v>
      </c>
      <c r="N479">
        <v>4.3</v>
      </c>
      <c r="O479">
        <v>4.8</v>
      </c>
    </row>
    <row r="480" spans="1:15" x14ac:dyDescent="0.3">
      <c r="A480" t="s">
        <v>1082</v>
      </c>
      <c r="B480" t="s">
        <v>463</v>
      </c>
      <c r="C480" t="s">
        <v>763</v>
      </c>
      <c r="D480" t="s">
        <v>53</v>
      </c>
      <c r="E480" t="s">
        <v>220</v>
      </c>
      <c r="F480" t="s">
        <v>515</v>
      </c>
      <c r="G480" t="s">
        <v>6</v>
      </c>
      <c r="H480">
        <v>6.6</v>
      </c>
      <c r="I480">
        <v>11</v>
      </c>
      <c r="J480">
        <v>164</v>
      </c>
      <c r="K480" t="s">
        <v>33</v>
      </c>
      <c r="L480" t="s">
        <v>78</v>
      </c>
      <c r="M480" t="s">
        <v>44</v>
      </c>
      <c r="N480">
        <v>4.8</v>
      </c>
      <c r="O480">
        <v>4.9000000000000004</v>
      </c>
    </row>
    <row r="481" spans="1:15" x14ac:dyDescent="0.3">
      <c r="A481" t="s">
        <v>1083</v>
      </c>
      <c r="B481" t="s">
        <v>531</v>
      </c>
      <c r="C481" t="s">
        <v>1084</v>
      </c>
      <c r="D481" t="s">
        <v>39</v>
      </c>
      <c r="E481" t="s">
        <v>278</v>
      </c>
      <c r="F481" t="s">
        <v>155</v>
      </c>
      <c r="G481" t="s">
        <v>7</v>
      </c>
      <c r="H481">
        <v>26</v>
      </c>
      <c r="I481">
        <v>69</v>
      </c>
      <c r="J481">
        <v>535</v>
      </c>
      <c r="K481" t="s">
        <v>42</v>
      </c>
      <c r="L481" t="s">
        <v>49</v>
      </c>
      <c r="M481" t="s">
        <v>44</v>
      </c>
      <c r="N481">
        <v>5</v>
      </c>
      <c r="O481">
        <v>4.7</v>
      </c>
    </row>
    <row r="482" spans="1:15" x14ac:dyDescent="0.3">
      <c r="A482" t="s">
        <v>1085</v>
      </c>
      <c r="B482" t="s">
        <v>604</v>
      </c>
      <c r="C482" t="s">
        <v>318</v>
      </c>
      <c r="D482" t="s">
        <v>68</v>
      </c>
      <c r="E482" t="s">
        <v>150</v>
      </c>
      <c r="F482" t="s">
        <v>195</v>
      </c>
      <c r="G482" t="s">
        <v>6</v>
      </c>
      <c r="H482">
        <v>3.8</v>
      </c>
      <c r="I482">
        <v>5</v>
      </c>
      <c r="J482">
        <v>161</v>
      </c>
      <c r="K482" t="s">
        <v>102</v>
      </c>
      <c r="L482" t="s">
        <v>43</v>
      </c>
      <c r="M482" t="s">
        <v>44</v>
      </c>
      <c r="N482">
        <v>4.5999999999999996</v>
      </c>
      <c r="O482">
        <v>4.5999999999999996</v>
      </c>
    </row>
    <row r="483" spans="1:15" x14ac:dyDescent="0.3">
      <c r="A483" t="s">
        <v>1086</v>
      </c>
      <c r="B483" t="s">
        <v>200</v>
      </c>
      <c r="C483" t="s">
        <v>1087</v>
      </c>
      <c r="D483" t="s">
        <v>68</v>
      </c>
      <c r="E483" t="s">
        <v>210</v>
      </c>
      <c r="F483" t="s">
        <v>70</v>
      </c>
      <c r="G483" t="s">
        <v>6</v>
      </c>
      <c r="H483">
        <v>2.5</v>
      </c>
      <c r="I483">
        <v>7</v>
      </c>
      <c r="J483">
        <v>78</v>
      </c>
      <c r="K483" t="s">
        <v>102</v>
      </c>
      <c r="L483" t="s">
        <v>57</v>
      </c>
      <c r="M483" t="s">
        <v>35</v>
      </c>
      <c r="N483">
        <v>4.7</v>
      </c>
      <c r="O483">
        <v>4.8</v>
      </c>
    </row>
    <row r="484" spans="1:15" x14ac:dyDescent="0.3">
      <c r="A484" t="s">
        <v>1088</v>
      </c>
      <c r="B484" t="s">
        <v>273</v>
      </c>
      <c r="C484" t="s">
        <v>1089</v>
      </c>
      <c r="D484" t="s">
        <v>68</v>
      </c>
      <c r="E484" t="s">
        <v>195</v>
      </c>
      <c r="F484" t="s">
        <v>210</v>
      </c>
      <c r="G484" t="s">
        <v>2</v>
      </c>
      <c r="H484">
        <v>2.9</v>
      </c>
      <c r="I484">
        <v>5</v>
      </c>
      <c r="J484">
        <v>84</v>
      </c>
      <c r="K484" t="s">
        <v>42</v>
      </c>
      <c r="L484" t="s">
        <v>49</v>
      </c>
      <c r="M484" t="s">
        <v>44</v>
      </c>
      <c r="N484">
        <v>4.3</v>
      </c>
      <c r="O484">
        <v>4.8</v>
      </c>
    </row>
    <row r="485" spans="1:15" x14ac:dyDescent="0.3">
      <c r="A485" t="s">
        <v>1090</v>
      </c>
      <c r="B485" t="s">
        <v>531</v>
      </c>
      <c r="C485" t="s">
        <v>1091</v>
      </c>
      <c r="D485" t="s">
        <v>81</v>
      </c>
      <c r="E485" t="s">
        <v>134</v>
      </c>
      <c r="F485" t="s">
        <v>82</v>
      </c>
      <c r="G485" t="s">
        <v>7</v>
      </c>
      <c r="H485">
        <v>7</v>
      </c>
      <c r="I485">
        <v>22</v>
      </c>
      <c r="J485">
        <v>263</v>
      </c>
      <c r="K485" t="s">
        <v>102</v>
      </c>
      <c r="L485" t="s">
        <v>71</v>
      </c>
      <c r="M485" t="s">
        <v>44</v>
      </c>
      <c r="N485">
        <v>4.7</v>
      </c>
      <c r="O485">
        <v>4.7</v>
      </c>
    </row>
    <row r="486" spans="1:15" x14ac:dyDescent="0.3">
      <c r="A486" t="s">
        <v>1092</v>
      </c>
      <c r="B486" t="s">
        <v>458</v>
      </c>
      <c r="C486" t="s">
        <v>1093</v>
      </c>
      <c r="D486" t="s">
        <v>68</v>
      </c>
      <c r="E486" t="s">
        <v>210</v>
      </c>
      <c r="F486" t="s">
        <v>150</v>
      </c>
      <c r="G486" t="s">
        <v>2</v>
      </c>
      <c r="H486">
        <v>4.8</v>
      </c>
      <c r="I486">
        <v>8</v>
      </c>
      <c r="J486">
        <v>101</v>
      </c>
      <c r="K486" t="s">
        <v>102</v>
      </c>
      <c r="L486" t="s">
        <v>49</v>
      </c>
      <c r="M486" t="s">
        <v>44</v>
      </c>
      <c r="N486">
        <v>4.4000000000000004</v>
      </c>
      <c r="O486">
        <v>4.5999999999999996</v>
      </c>
    </row>
    <row r="487" spans="1:15" x14ac:dyDescent="0.3">
      <c r="A487" t="s">
        <v>1094</v>
      </c>
      <c r="B487" t="s">
        <v>218</v>
      </c>
      <c r="C487" t="s">
        <v>1095</v>
      </c>
      <c r="D487" t="s">
        <v>68</v>
      </c>
      <c r="E487" t="s">
        <v>69</v>
      </c>
      <c r="F487" t="s">
        <v>195</v>
      </c>
      <c r="G487" t="s">
        <v>4</v>
      </c>
      <c r="H487">
        <v>6.8</v>
      </c>
      <c r="I487">
        <v>12</v>
      </c>
      <c r="J487">
        <v>326</v>
      </c>
      <c r="K487" t="s">
        <v>42</v>
      </c>
      <c r="L487" t="s">
        <v>43</v>
      </c>
      <c r="M487" t="s">
        <v>44</v>
      </c>
      <c r="N487">
        <v>4.8</v>
      </c>
      <c r="O487">
        <v>4.8</v>
      </c>
    </row>
    <row r="488" spans="1:15" x14ac:dyDescent="0.3">
      <c r="A488" t="s">
        <v>1096</v>
      </c>
      <c r="B488" t="s">
        <v>59</v>
      </c>
      <c r="C488" t="s">
        <v>532</v>
      </c>
      <c r="D488" t="s">
        <v>68</v>
      </c>
      <c r="E488" t="s">
        <v>172</v>
      </c>
      <c r="F488" t="s">
        <v>210</v>
      </c>
      <c r="G488" t="s">
        <v>2</v>
      </c>
      <c r="H488">
        <v>4.4000000000000004</v>
      </c>
      <c r="I488">
        <v>11</v>
      </c>
      <c r="J488">
        <v>118</v>
      </c>
      <c r="K488" t="s">
        <v>33</v>
      </c>
      <c r="L488" t="s">
        <v>49</v>
      </c>
      <c r="M488" t="s">
        <v>44</v>
      </c>
      <c r="N488">
        <v>4.9000000000000004</v>
      </c>
      <c r="O488">
        <v>4.8</v>
      </c>
    </row>
    <row r="489" spans="1:15" x14ac:dyDescent="0.3">
      <c r="A489" t="s">
        <v>1097</v>
      </c>
      <c r="B489" t="s">
        <v>808</v>
      </c>
      <c r="C489" t="s">
        <v>1098</v>
      </c>
      <c r="D489" t="s">
        <v>53</v>
      </c>
      <c r="E489" t="s">
        <v>220</v>
      </c>
      <c r="F489" t="s">
        <v>236</v>
      </c>
      <c r="G489" t="s">
        <v>7</v>
      </c>
      <c r="H489">
        <v>3.6</v>
      </c>
      <c r="I489">
        <v>5</v>
      </c>
      <c r="J489">
        <v>137</v>
      </c>
      <c r="K489" t="s">
        <v>33</v>
      </c>
      <c r="L489" t="s">
        <v>78</v>
      </c>
      <c r="M489" t="s">
        <v>44</v>
      </c>
      <c r="N489">
        <v>4.7</v>
      </c>
      <c r="O489">
        <v>4.9000000000000004</v>
      </c>
    </row>
    <row r="490" spans="1:15" x14ac:dyDescent="0.3">
      <c r="A490" t="s">
        <v>1099</v>
      </c>
      <c r="B490" t="s">
        <v>128</v>
      </c>
      <c r="C490" t="s">
        <v>757</v>
      </c>
      <c r="D490" t="s">
        <v>61</v>
      </c>
      <c r="E490" t="s">
        <v>183</v>
      </c>
      <c r="F490" t="s">
        <v>191</v>
      </c>
      <c r="G490" t="s">
        <v>2</v>
      </c>
      <c r="H490">
        <v>2.2999999999999998</v>
      </c>
      <c r="I490">
        <v>7</v>
      </c>
      <c r="J490">
        <v>73</v>
      </c>
      <c r="K490" t="s">
        <v>42</v>
      </c>
      <c r="L490" t="s">
        <v>49</v>
      </c>
      <c r="M490" t="s">
        <v>44</v>
      </c>
      <c r="N490">
        <v>4.5999999999999996</v>
      </c>
      <c r="O490">
        <v>4.8</v>
      </c>
    </row>
    <row r="491" spans="1:15" x14ac:dyDescent="0.3">
      <c r="A491" t="s">
        <v>1100</v>
      </c>
      <c r="B491" t="s">
        <v>249</v>
      </c>
      <c r="C491" t="s">
        <v>1101</v>
      </c>
      <c r="D491" t="s">
        <v>75</v>
      </c>
      <c r="E491" t="s">
        <v>230</v>
      </c>
      <c r="F491" t="s">
        <v>146</v>
      </c>
      <c r="G491" t="s">
        <v>6</v>
      </c>
      <c r="H491">
        <v>9.6999999999999993</v>
      </c>
      <c r="I491">
        <v>21</v>
      </c>
      <c r="J491">
        <v>244</v>
      </c>
      <c r="K491" t="s">
        <v>33</v>
      </c>
      <c r="L491" t="s">
        <v>71</v>
      </c>
      <c r="M491" t="s">
        <v>44</v>
      </c>
      <c r="N491">
        <v>4.5</v>
      </c>
      <c r="O491">
        <v>4.7</v>
      </c>
    </row>
    <row r="492" spans="1:15" x14ac:dyDescent="0.3">
      <c r="A492" t="s">
        <v>1102</v>
      </c>
      <c r="B492" t="s">
        <v>468</v>
      </c>
      <c r="C492" t="s">
        <v>1103</v>
      </c>
      <c r="D492" t="s">
        <v>68</v>
      </c>
      <c r="E492" t="s">
        <v>70</v>
      </c>
      <c r="F492" t="s">
        <v>150</v>
      </c>
      <c r="G492" t="s">
        <v>3</v>
      </c>
      <c r="H492">
        <v>9.4</v>
      </c>
      <c r="I492">
        <v>23</v>
      </c>
      <c r="J492">
        <v>460</v>
      </c>
      <c r="K492" t="s">
        <v>42</v>
      </c>
      <c r="L492" t="s">
        <v>161</v>
      </c>
      <c r="M492" t="s">
        <v>35</v>
      </c>
      <c r="N492">
        <v>4.9000000000000004</v>
      </c>
      <c r="O492">
        <v>4.5999999999999996</v>
      </c>
    </row>
    <row r="493" spans="1:15" x14ac:dyDescent="0.3">
      <c r="A493" t="s">
        <v>1104</v>
      </c>
      <c r="B493" t="s">
        <v>66</v>
      </c>
      <c r="C493" t="s">
        <v>835</v>
      </c>
      <c r="D493" t="s">
        <v>53</v>
      </c>
      <c r="E493" t="s">
        <v>220</v>
      </c>
      <c r="F493" t="s">
        <v>405</v>
      </c>
      <c r="G493" t="s">
        <v>2</v>
      </c>
      <c r="H493">
        <v>4</v>
      </c>
      <c r="I493">
        <v>5</v>
      </c>
      <c r="J493">
        <v>84</v>
      </c>
      <c r="K493" t="s">
        <v>102</v>
      </c>
      <c r="L493" t="s">
        <v>78</v>
      </c>
      <c r="M493" t="s">
        <v>44</v>
      </c>
      <c r="N493">
        <v>4.4000000000000004</v>
      </c>
      <c r="O493">
        <v>4.9000000000000004</v>
      </c>
    </row>
    <row r="494" spans="1:15" x14ac:dyDescent="0.3">
      <c r="A494" t="s">
        <v>1105</v>
      </c>
      <c r="B494" t="s">
        <v>205</v>
      </c>
      <c r="C494" t="s">
        <v>1106</v>
      </c>
      <c r="D494" t="s">
        <v>61</v>
      </c>
      <c r="E494" t="s">
        <v>328</v>
      </c>
      <c r="F494" t="s">
        <v>183</v>
      </c>
      <c r="G494" t="s">
        <v>4</v>
      </c>
      <c r="H494">
        <v>1</v>
      </c>
      <c r="I494">
        <v>5</v>
      </c>
      <c r="J494">
        <v>117</v>
      </c>
      <c r="K494" t="s">
        <v>33</v>
      </c>
      <c r="L494" t="s">
        <v>71</v>
      </c>
      <c r="M494" t="s">
        <v>44</v>
      </c>
      <c r="N494">
        <v>4.4000000000000004</v>
      </c>
      <c r="O494">
        <v>4.9000000000000004</v>
      </c>
    </row>
    <row r="495" spans="1:15" x14ac:dyDescent="0.3">
      <c r="A495" t="s">
        <v>1107</v>
      </c>
      <c r="B495" t="s">
        <v>66</v>
      </c>
      <c r="C495" t="s">
        <v>611</v>
      </c>
      <c r="D495" t="s">
        <v>158</v>
      </c>
      <c r="E495" t="s">
        <v>160</v>
      </c>
      <c r="F495" t="s">
        <v>283</v>
      </c>
      <c r="G495" t="s">
        <v>6</v>
      </c>
      <c r="H495">
        <v>17.100000000000001</v>
      </c>
      <c r="I495">
        <v>44</v>
      </c>
      <c r="J495">
        <v>367</v>
      </c>
      <c r="K495" t="s">
        <v>33</v>
      </c>
      <c r="L495" t="s">
        <v>49</v>
      </c>
      <c r="M495" t="s">
        <v>44</v>
      </c>
      <c r="N495">
        <v>4.5999999999999996</v>
      </c>
      <c r="O495">
        <v>4.8</v>
      </c>
    </row>
    <row r="496" spans="1:15" x14ac:dyDescent="0.3">
      <c r="A496" t="s">
        <v>1108</v>
      </c>
      <c r="B496" t="s">
        <v>450</v>
      </c>
      <c r="C496" t="s">
        <v>1109</v>
      </c>
      <c r="D496" t="s">
        <v>81</v>
      </c>
      <c r="E496" t="s">
        <v>90</v>
      </c>
      <c r="F496" t="s">
        <v>91</v>
      </c>
      <c r="G496" t="s">
        <v>5</v>
      </c>
      <c r="H496">
        <v>8.5</v>
      </c>
      <c r="I496">
        <v>22</v>
      </c>
      <c r="J496">
        <v>307</v>
      </c>
      <c r="K496" t="s">
        <v>33</v>
      </c>
      <c r="L496" t="s">
        <v>71</v>
      </c>
      <c r="M496" t="s">
        <v>44</v>
      </c>
      <c r="N496">
        <v>4.5999999999999996</v>
      </c>
      <c r="O496">
        <v>5</v>
      </c>
    </row>
    <row r="497" spans="1:15" x14ac:dyDescent="0.3">
      <c r="A497" t="s">
        <v>1110</v>
      </c>
      <c r="B497" t="s">
        <v>128</v>
      </c>
      <c r="C497" t="s">
        <v>1111</v>
      </c>
      <c r="D497" t="s">
        <v>30</v>
      </c>
      <c r="E497" t="s">
        <v>112</v>
      </c>
      <c r="F497" t="s">
        <v>100</v>
      </c>
      <c r="G497" t="s">
        <v>4</v>
      </c>
      <c r="H497">
        <v>4.0999999999999996</v>
      </c>
      <c r="I497">
        <v>12</v>
      </c>
      <c r="J497">
        <v>262</v>
      </c>
      <c r="K497" t="s">
        <v>102</v>
      </c>
      <c r="L497" t="s">
        <v>71</v>
      </c>
      <c r="M497" t="s">
        <v>44</v>
      </c>
      <c r="N497">
        <v>4.9000000000000004</v>
      </c>
      <c r="O497">
        <v>5</v>
      </c>
    </row>
    <row r="498" spans="1:15" x14ac:dyDescent="0.3">
      <c r="A498" t="s">
        <v>1112</v>
      </c>
      <c r="B498" t="s">
        <v>128</v>
      </c>
      <c r="C498" t="s">
        <v>1113</v>
      </c>
      <c r="D498" t="s">
        <v>61</v>
      </c>
      <c r="E498" t="s">
        <v>191</v>
      </c>
      <c r="F498" t="s">
        <v>62</v>
      </c>
      <c r="G498" t="s">
        <v>6</v>
      </c>
      <c r="H498">
        <v>4.4000000000000004</v>
      </c>
      <c r="I498">
        <v>14</v>
      </c>
      <c r="J498">
        <v>125</v>
      </c>
      <c r="K498" t="s">
        <v>33</v>
      </c>
      <c r="L498" t="s">
        <v>64</v>
      </c>
      <c r="M498" t="s">
        <v>44</v>
      </c>
      <c r="N498">
        <v>4.5</v>
      </c>
      <c r="O498">
        <v>4.9000000000000004</v>
      </c>
    </row>
    <row r="499" spans="1:15" x14ac:dyDescent="0.3">
      <c r="A499" t="s">
        <v>1114</v>
      </c>
      <c r="B499" t="s">
        <v>276</v>
      </c>
      <c r="C499" t="s">
        <v>1115</v>
      </c>
      <c r="D499" t="s">
        <v>81</v>
      </c>
      <c r="E499" t="s">
        <v>91</v>
      </c>
      <c r="F499" t="s">
        <v>134</v>
      </c>
      <c r="G499" t="s">
        <v>2</v>
      </c>
      <c r="H499">
        <v>3</v>
      </c>
      <c r="I499">
        <v>5</v>
      </c>
      <c r="J499">
        <v>74</v>
      </c>
      <c r="K499" t="s">
        <v>33</v>
      </c>
      <c r="L499" t="s">
        <v>78</v>
      </c>
      <c r="M499" t="s">
        <v>44</v>
      </c>
      <c r="N499">
        <v>4.9000000000000004</v>
      </c>
      <c r="O499">
        <v>5</v>
      </c>
    </row>
    <row r="500" spans="1:15" x14ac:dyDescent="0.3">
      <c r="A500" t="s">
        <v>1116</v>
      </c>
      <c r="B500" t="s">
        <v>689</v>
      </c>
      <c r="C500" t="s">
        <v>1117</v>
      </c>
      <c r="D500" t="s">
        <v>61</v>
      </c>
      <c r="E500" t="s">
        <v>63</v>
      </c>
      <c r="F500" t="s">
        <v>183</v>
      </c>
      <c r="G500" t="s">
        <v>6</v>
      </c>
      <c r="H500">
        <v>9.3000000000000007</v>
      </c>
      <c r="I500">
        <v>25</v>
      </c>
      <c r="J500">
        <v>193</v>
      </c>
      <c r="K500" t="s">
        <v>42</v>
      </c>
      <c r="L500" t="s">
        <v>78</v>
      </c>
      <c r="M500" t="s">
        <v>44</v>
      </c>
      <c r="N500">
        <v>5</v>
      </c>
      <c r="O500">
        <v>4.7</v>
      </c>
    </row>
    <row r="501" spans="1:15" x14ac:dyDescent="0.3">
      <c r="A501" t="s">
        <v>1118</v>
      </c>
      <c r="B501" t="s">
        <v>273</v>
      </c>
      <c r="C501" t="s">
        <v>511</v>
      </c>
      <c r="D501" t="s">
        <v>53</v>
      </c>
      <c r="E501" t="s">
        <v>54</v>
      </c>
      <c r="F501" t="s">
        <v>405</v>
      </c>
      <c r="G501" t="s">
        <v>6</v>
      </c>
      <c r="H501">
        <v>11.7</v>
      </c>
      <c r="I501">
        <v>26</v>
      </c>
      <c r="J501">
        <v>339</v>
      </c>
      <c r="K501" t="s">
        <v>33</v>
      </c>
      <c r="L501" t="s">
        <v>71</v>
      </c>
      <c r="M501" t="s">
        <v>44</v>
      </c>
      <c r="N501">
        <v>4.5999999999999996</v>
      </c>
      <c r="O501">
        <v>4.7</v>
      </c>
    </row>
    <row r="502" spans="1:15" x14ac:dyDescent="0.3">
      <c r="A502" t="s">
        <v>1119</v>
      </c>
      <c r="B502" t="s">
        <v>273</v>
      </c>
      <c r="C502" t="s">
        <v>1120</v>
      </c>
      <c r="D502" t="s">
        <v>30</v>
      </c>
      <c r="E502" t="s">
        <v>179</v>
      </c>
      <c r="F502" t="s">
        <v>101</v>
      </c>
      <c r="G502" t="s">
        <v>6</v>
      </c>
      <c r="H502">
        <v>1.7</v>
      </c>
      <c r="I502">
        <v>13</v>
      </c>
      <c r="J502">
        <v>84</v>
      </c>
      <c r="K502" t="s">
        <v>42</v>
      </c>
      <c r="L502" t="s">
        <v>64</v>
      </c>
      <c r="M502" t="s">
        <v>44</v>
      </c>
      <c r="N502">
        <v>4.5</v>
      </c>
      <c r="O502">
        <v>5</v>
      </c>
    </row>
    <row r="503" spans="1:15" x14ac:dyDescent="0.3">
      <c r="A503" t="s">
        <v>1121</v>
      </c>
      <c r="B503" t="s">
        <v>552</v>
      </c>
      <c r="C503" t="s">
        <v>1122</v>
      </c>
      <c r="D503" t="s">
        <v>39</v>
      </c>
      <c r="E503" t="s">
        <v>154</v>
      </c>
      <c r="F503" t="s">
        <v>41</v>
      </c>
      <c r="G503" t="s">
        <v>6</v>
      </c>
      <c r="H503">
        <v>4</v>
      </c>
      <c r="I503">
        <v>18</v>
      </c>
      <c r="J503">
        <v>119</v>
      </c>
      <c r="K503" t="s">
        <v>102</v>
      </c>
      <c r="L503" t="s">
        <v>64</v>
      </c>
      <c r="M503" t="s">
        <v>44</v>
      </c>
      <c r="N503">
        <v>4.9000000000000004</v>
      </c>
      <c r="O503">
        <v>5</v>
      </c>
    </row>
    <row r="504" spans="1:15" x14ac:dyDescent="0.3">
      <c r="A504" t="s">
        <v>1123</v>
      </c>
      <c r="B504" t="s">
        <v>400</v>
      </c>
      <c r="C504" t="s">
        <v>1040</v>
      </c>
      <c r="D504" t="s">
        <v>39</v>
      </c>
      <c r="E504" t="s">
        <v>40</v>
      </c>
      <c r="F504" t="s">
        <v>484</v>
      </c>
      <c r="G504" t="s">
        <v>6</v>
      </c>
      <c r="H504">
        <v>28.4</v>
      </c>
      <c r="I504">
        <v>93</v>
      </c>
      <c r="J504">
        <v>664</v>
      </c>
      <c r="K504" t="s">
        <v>42</v>
      </c>
      <c r="L504" t="s">
        <v>71</v>
      </c>
      <c r="M504" t="s">
        <v>44</v>
      </c>
      <c r="N504">
        <v>4.9000000000000004</v>
      </c>
      <c r="O504">
        <v>4.5999999999999996</v>
      </c>
    </row>
    <row r="505" spans="1:15" x14ac:dyDescent="0.3">
      <c r="A505" t="s">
        <v>1124</v>
      </c>
      <c r="B505" t="s">
        <v>458</v>
      </c>
      <c r="C505" t="s">
        <v>489</v>
      </c>
      <c r="D505" t="s">
        <v>81</v>
      </c>
      <c r="E505" t="s">
        <v>83</v>
      </c>
      <c r="F505" t="s">
        <v>91</v>
      </c>
      <c r="G505" t="s">
        <v>7</v>
      </c>
      <c r="H505">
        <v>13.5</v>
      </c>
      <c r="I505">
        <v>31</v>
      </c>
      <c r="J505">
        <v>482</v>
      </c>
      <c r="K505" t="s">
        <v>56</v>
      </c>
      <c r="L505" t="s">
        <v>71</v>
      </c>
      <c r="M505" t="s">
        <v>44</v>
      </c>
      <c r="N505">
        <v>4.5</v>
      </c>
      <c r="O505">
        <v>5</v>
      </c>
    </row>
    <row r="506" spans="1:15" x14ac:dyDescent="0.3">
      <c r="A506" t="s">
        <v>1125</v>
      </c>
      <c r="B506" t="s">
        <v>181</v>
      </c>
      <c r="C506" t="s">
        <v>229</v>
      </c>
      <c r="D506" t="s">
        <v>81</v>
      </c>
      <c r="E506" t="s">
        <v>268</v>
      </c>
      <c r="F506" t="s">
        <v>91</v>
      </c>
      <c r="G506" t="s">
        <v>5</v>
      </c>
      <c r="H506">
        <v>5.8</v>
      </c>
      <c r="I506">
        <v>21</v>
      </c>
      <c r="J506">
        <v>196</v>
      </c>
      <c r="K506" t="s">
        <v>33</v>
      </c>
      <c r="L506" t="s">
        <v>78</v>
      </c>
      <c r="M506" t="s">
        <v>44</v>
      </c>
      <c r="N506">
        <v>4.5</v>
      </c>
      <c r="O506">
        <v>4.8</v>
      </c>
    </row>
    <row r="507" spans="1:15" x14ac:dyDescent="0.3">
      <c r="A507" t="s">
        <v>1126</v>
      </c>
      <c r="B507" t="s">
        <v>536</v>
      </c>
      <c r="C507" t="s">
        <v>1127</v>
      </c>
      <c r="D507" t="s">
        <v>39</v>
      </c>
      <c r="E507" t="s">
        <v>278</v>
      </c>
      <c r="F507" t="s">
        <v>48</v>
      </c>
      <c r="G507" t="s">
        <v>4</v>
      </c>
      <c r="H507">
        <v>20.6</v>
      </c>
      <c r="I507">
        <v>57</v>
      </c>
      <c r="J507">
        <v>586</v>
      </c>
      <c r="K507" t="s">
        <v>33</v>
      </c>
      <c r="L507" t="s">
        <v>43</v>
      </c>
      <c r="M507" t="s">
        <v>44</v>
      </c>
      <c r="N507">
        <v>4.5999999999999996</v>
      </c>
      <c r="O507">
        <v>4.8</v>
      </c>
    </row>
    <row r="508" spans="1:15" x14ac:dyDescent="0.3">
      <c r="A508" t="s">
        <v>1128</v>
      </c>
      <c r="B508" t="s">
        <v>727</v>
      </c>
      <c r="C508" t="s">
        <v>1129</v>
      </c>
      <c r="D508" t="s">
        <v>81</v>
      </c>
      <c r="E508" t="s">
        <v>201</v>
      </c>
      <c r="F508" t="s">
        <v>91</v>
      </c>
      <c r="G508" t="s">
        <v>2</v>
      </c>
      <c r="H508">
        <v>6.2</v>
      </c>
      <c r="I508">
        <v>19</v>
      </c>
      <c r="J508">
        <v>112</v>
      </c>
      <c r="K508" t="s">
        <v>102</v>
      </c>
      <c r="L508" t="s">
        <v>34</v>
      </c>
      <c r="M508" t="s">
        <v>35</v>
      </c>
      <c r="N508">
        <v>4.3</v>
      </c>
      <c r="O508">
        <v>4.7</v>
      </c>
    </row>
    <row r="509" spans="1:15" x14ac:dyDescent="0.3">
      <c r="A509" t="s">
        <v>1130</v>
      </c>
      <c r="B509" t="s">
        <v>264</v>
      </c>
      <c r="C509" t="s">
        <v>826</v>
      </c>
      <c r="D509" t="s">
        <v>30</v>
      </c>
      <c r="E509" t="s">
        <v>32</v>
      </c>
      <c r="F509" t="s">
        <v>112</v>
      </c>
      <c r="G509" t="s">
        <v>2</v>
      </c>
      <c r="H509">
        <v>9.5</v>
      </c>
      <c r="I509">
        <v>26</v>
      </c>
      <c r="J509">
        <v>133</v>
      </c>
      <c r="K509" t="s">
        <v>42</v>
      </c>
      <c r="L509" t="s">
        <v>64</v>
      </c>
      <c r="M509" t="s">
        <v>44</v>
      </c>
      <c r="N509">
        <v>4.5999999999999996</v>
      </c>
      <c r="O509">
        <v>4.7</v>
      </c>
    </row>
    <row r="510" spans="1:15" x14ac:dyDescent="0.3">
      <c r="A510" t="s">
        <v>1131</v>
      </c>
      <c r="B510" t="s">
        <v>689</v>
      </c>
      <c r="C510" t="s">
        <v>1132</v>
      </c>
      <c r="D510" t="s">
        <v>68</v>
      </c>
      <c r="E510" t="s">
        <v>150</v>
      </c>
      <c r="F510" t="s">
        <v>69</v>
      </c>
      <c r="G510" t="s">
        <v>6</v>
      </c>
      <c r="H510">
        <v>3.4</v>
      </c>
      <c r="I510">
        <v>6</v>
      </c>
      <c r="J510">
        <v>114</v>
      </c>
      <c r="K510" t="s">
        <v>102</v>
      </c>
      <c r="L510" t="s">
        <v>34</v>
      </c>
      <c r="M510" t="s">
        <v>35</v>
      </c>
      <c r="N510">
        <v>4.9000000000000004</v>
      </c>
      <c r="O510">
        <v>4.5999999999999996</v>
      </c>
    </row>
    <row r="511" spans="1:15" x14ac:dyDescent="0.3">
      <c r="A511" t="s">
        <v>1133</v>
      </c>
      <c r="B511" t="s">
        <v>604</v>
      </c>
      <c r="C511" t="s">
        <v>1134</v>
      </c>
      <c r="D511" t="s">
        <v>68</v>
      </c>
      <c r="E511" t="s">
        <v>69</v>
      </c>
      <c r="F511" t="s">
        <v>120</v>
      </c>
      <c r="G511" t="s">
        <v>6</v>
      </c>
      <c r="H511">
        <v>10</v>
      </c>
      <c r="I511">
        <v>7</v>
      </c>
      <c r="J511">
        <v>224</v>
      </c>
      <c r="K511" t="s">
        <v>33</v>
      </c>
      <c r="L511" t="s">
        <v>57</v>
      </c>
      <c r="M511" t="s">
        <v>35</v>
      </c>
      <c r="N511">
        <v>5</v>
      </c>
      <c r="O511">
        <v>4.7</v>
      </c>
    </row>
    <row r="512" spans="1:15" x14ac:dyDescent="0.3">
      <c r="A512" t="s">
        <v>1135</v>
      </c>
      <c r="B512" t="s">
        <v>450</v>
      </c>
      <c r="C512" t="s">
        <v>1136</v>
      </c>
      <c r="D512" t="s">
        <v>30</v>
      </c>
      <c r="E512" t="s">
        <v>142</v>
      </c>
      <c r="F512" t="s">
        <v>138</v>
      </c>
      <c r="G512" t="s">
        <v>6</v>
      </c>
      <c r="H512">
        <v>11.8</v>
      </c>
      <c r="I512">
        <v>41</v>
      </c>
      <c r="J512">
        <v>210</v>
      </c>
      <c r="K512" t="s">
        <v>102</v>
      </c>
      <c r="L512" t="s">
        <v>49</v>
      </c>
      <c r="M512" t="s">
        <v>44</v>
      </c>
      <c r="N512">
        <v>4.5999999999999996</v>
      </c>
      <c r="O512">
        <v>4.7</v>
      </c>
    </row>
    <row r="513" spans="1:15" x14ac:dyDescent="0.3">
      <c r="A513" t="s">
        <v>1137</v>
      </c>
      <c r="B513" t="s">
        <v>225</v>
      </c>
      <c r="C513" t="s">
        <v>504</v>
      </c>
      <c r="D513" t="s">
        <v>53</v>
      </c>
      <c r="E513" t="s">
        <v>55</v>
      </c>
      <c r="F513" t="s">
        <v>221</v>
      </c>
      <c r="G513" t="s">
        <v>4</v>
      </c>
      <c r="H513">
        <v>1.1000000000000001</v>
      </c>
      <c r="I513">
        <v>5</v>
      </c>
      <c r="J513">
        <v>116</v>
      </c>
      <c r="K513" t="s">
        <v>102</v>
      </c>
      <c r="L513" t="s">
        <v>71</v>
      </c>
      <c r="M513" t="s">
        <v>44</v>
      </c>
      <c r="N513">
        <v>4.7</v>
      </c>
      <c r="O513">
        <v>4.9000000000000004</v>
      </c>
    </row>
    <row r="514" spans="1:15" x14ac:dyDescent="0.3">
      <c r="A514" t="s">
        <v>1138</v>
      </c>
      <c r="B514" t="s">
        <v>273</v>
      </c>
      <c r="C514" t="s">
        <v>1139</v>
      </c>
      <c r="D514" t="s">
        <v>81</v>
      </c>
      <c r="E514" t="s">
        <v>91</v>
      </c>
      <c r="F514" t="s">
        <v>268</v>
      </c>
      <c r="G514" t="s">
        <v>5</v>
      </c>
      <c r="H514">
        <v>10.7</v>
      </c>
      <c r="I514">
        <v>22</v>
      </c>
      <c r="J514">
        <v>271</v>
      </c>
      <c r="K514" t="s">
        <v>33</v>
      </c>
      <c r="L514" t="s">
        <v>34</v>
      </c>
      <c r="M514" t="s">
        <v>35</v>
      </c>
      <c r="N514">
        <v>4.9000000000000004</v>
      </c>
      <c r="O514">
        <v>4.8</v>
      </c>
    </row>
    <row r="515" spans="1:15" x14ac:dyDescent="0.3">
      <c r="A515" t="s">
        <v>1140</v>
      </c>
      <c r="B515" t="s">
        <v>808</v>
      </c>
      <c r="C515" t="s">
        <v>553</v>
      </c>
      <c r="D515" t="s">
        <v>81</v>
      </c>
      <c r="E515" t="s">
        <v>83</v>
      </c>
      <c r="F515" t="s">
        <v>82</v>
      </c>
      <c r="G515" t="s">
        <v>5</v>
      </c>
      <c r="H515">
        <v>4.8</v>
      </c>
      <c r="I515">
        <v>11</v>
      </c>
      <c r="J515">
        <v>214</v>
      </c>
      <c r="K515" t="s">
        <v>33</v>
      </c>
      <c r="L515" t="s">
        <v>71</v>
      </c>
      <c r="M515" t="s">
        <v>44</v>
      </c>
      <c r="N515">
        <v>4.2</v>
      </c>
      <c r="O515">
        <v>4.7</v>
      </c>
    </row>
    <row r="516" spans="1:15" x14ac:dyDescent="0.3">
      <c r="A516" t="s">
        <v>1141</v>
      </c>
      <c r="B516" t="s">
        <v>189</v>
      </c>
      <c r="C516" t="s">
        <v>1142</v>
      </c>
      <c r="D516" t="s">
        <v>68</v>
      </c>
      <c r="E516" t="s">
        <v>120</v>
      </c>
      <c r="F516" t="s">
        <v>150</v>
      </c>
      <c r="G516" t="s">
        <v>4</v>
      </c>
      <c r="H516">
        <v>7.3</v>
      </c>
      <c r="I516">
        <v>13</v>
      </c>
      <c r="J516">
        <v>372</v>
      </c>
      <c r="K516" t="s">
        <v>56</v>
      </c>
      <c r="L516" t="s">
        <v>71</v>
      </c>
      <c r="M516" t="s">
        <v>44</v>
      </c>
      <c r="N516">
        <v>4.5</v>
      </c>
      <c r="O516">
        <v>4.8</v>
      </c>
    </row>
    <row r="517" spans="1:15" x14ac:dyDescent="0.3">
      <c r="A517" t="s">
        <v>1143</v>
      </c>
      <c r="B517" t="s">
        <v>118</v>
      </c>
      <c r="C517" t="s">
        <v>1144</v>
      </c>
      <c r="D517" t="s">
        <v>68</v>
      </c>
      <c r="E517" t="s">
        <v>150</v>
      </c>
      <c r="F517" t="s">
        <v>69</v>
      </c>
      <c r="G517" t="s">
        <v>6</v>
      </c>
      <c r="H517">
        <v>3.2</v>
      </c>
      <c r="I517">
        <v>5</v>
      </c>
      <c r="J517">
        <v>112</v>
      </c>
      <c r="K517" t="s">
        <v>42</v>
      </c>
      <c r="L517" t="s">
        <v>64</v>
      </c>
      <c r="M517" t="s">
        <v>44</v>
      </c>
      <c r="N517">
        <v>4.7</v>
      </c>
      <c r="O517">
        <v>4.5</v>
      </c>
    </row>
    <row r="518" spans="1:15" x14ac:dyDescent="0.3">
      <c r="A518" t="s">
        <v>1145</v>
      </c>
      <c r="B518" t="s">
        <v>174</v>
      </c>
      <c r="C518" t="s">
        <v>1146</v>
      </c>
      <c r="D518" t="s">
        <v>53</v>
      </c>
      <c r="E518" t="s">
        <v>55</v>
      </c>
      <c r="F518" t="s">
        <v>236</v>
      </c>
      <c r="G518" t="s">
        <v>2</v>
      </c>
      <c r="H518">
        <v>9.1</v>
      </c>
      <c r="I518">
        <v>22</v>
      </c>
      <c r="J518">
        <v>172</v>
      </c>
      <c r="K518" t="s">
        <v>56</v>
      </c>
      <c r="L518" t="s">
        <v>64</v>
      </c>
      <c r="M518" t="s">
        <v>44</v>
      </c>
      <c r="N518">
        <v>4.9000000000000004</v>
      </c>
      <c r="O518">
        <v>4.8</v>
      </c>
    </row>
    <row r="519" spans="1:15" x14ac:dyDescent="0.3">
      <c r="A519" t="s">
        <v>1147</v>
      </c>
      <c r="B519" t="s">
        <v>98</v>
      </c>
      <c r="C519" t="s">
        <v>1033</v>
      </c>
      <c r="D519" t="s">
        <v>39</v>
      </c>
      <c r="E519" t="s">
        <v>48</v>
      </c>
      <c r="F519" t="s">
        <v>41</v>
      </c>
      <c r="G519" t="s">
        <v>2</v>
      </c>
      <c r="H519">
        <v>7.2</v>
      </c>
      <c r="I519">
        <v>27</v>
      </c>
      <c r="J519">
        <v>160</v>
      </c>
      <c r="K519" t="s">
        <v>33</v>
      </c>
      <c r="L519" t="s">
        <v>43</v>
      </c>
      <c r="M519" t="s">
        <v>44</v>
      </c>
      <c r="N519">
        <v>4.3</v>
      </c>
      <c r="O519">
        <v>4.7</v>
      </c>
    </row>
    <row r="520" spans="1:15" x14ac:dyDescent="0.3">
      <c r="A520" t="s">
        <v>1148</v>
      </c>
      <c r="B520" t="s">
        <v>166</v>
      </c>
      <c r="C520" t="s">
        <v>1149</v>
      </c>
      <c r="D520" t="s">
        <v>61</v>
      </c>
      <c r="E520" t="s">
        <v>63</v>
      </c>
      <c r="F520" t="s">
        <v>183</v>
      </c>
      <c r="G520" t="s">
        <v>6</v>
      </c>
      <c r="H520">
        <v>8.6999999999999993</v>
      </c>
      <c r="I520">
        <v>23</v>
      </c>
      <c r="J520">
        <v>215</v>
      </c>
      <c r="K520" t="s">
        <v>33</v>
      </c>
      <c r="L520" t="s">
        <v>78</v>
      </c>
      <c r="M520" t="s">
        <v>44</v>
      </c>
      <c r="N520">
        <v>4.5</v>
      </c>
      <c r="O520">
        <v>4.5999999999999996</v>
      </c>
    </row>
    <row r="521" spans="1:15" x14ac:dyDescent="0.3">
      <c r="A521" t="s">
        <v>1150</v>
      </c>
      <c r="B521" t="s">
        <v>306</v>
      </c>
      <c r="C521" t="s">
        <v>1151</v>
      </c>
      <c r="D521" t="s">
        <v>68</v>
      </c>
      <c r="E521" t="s">
        <v>210</v>
      </c>
      <c r="F521" t="s">
        <v>130</v>
      </c>
      <c r="G521" t="s">
        <v>6</v>
      </c>
      <c r="H521">
        <v>4.3</v>
      </c>
      <c r="I521">
        <v>15</v>
      </c>
      <c r="J521">
        <v>116</v>
      </c>
      <c r="K521" t="s">
        <v>102</v>
      </c>
      <c r="L521" t="s">
        <v>78</v>
      </c>
      <c r="M521" t="s">
        <v>44</v>
      </c>
      <c r="N521">
        <v>4.7</v>
      </c>
      <c r="O521">
        <v>4.7</v>
      </c>
    </row>
    <row r="522" spans="1:15" x14ac:dyDescent="0.3">
      <c r="A522" t="s">
        <v>1152</v>
      </c>
      <c r="B522" t="s">
        <v>170</v>
      </c>
      <c r="C522" t="s">
        <v>1153</v>
      </c>
      <c r="D522" t="s">
        <v>158</v>
      </c>
      <c r="E522" t="s">
        <v>316</v>
      </c>
      <c r="F522" t="s">
        <v>283</v>
      </c>
      <c r="G522" t="s">
        <v>6</v>
      </c>
      <c r="H522">
        <v>5.8</v>
      </c>
      <c r="I522">
        <v>11</v>
      </c>
      <c r="J522">
        <v>160</v>
      </c>
      <c r="K522" t="s">
        <v>42</v>
      </c>
      <c r="L522" t="s">
        <v>78</v>
      </c>
      <c r="M522" t="s">
        <v>44</v>
      </c>
      <c r="N522">
        <v>4.5</v>
      </c>
      <c r="O522">
        <v>4.4000000000000004</v>
      </c>
    </row>
    <row r="523" spans="1:15" x14ac:dyDescent="0.3">
      <c r="A523" t="s">
        <v>1154</v>
      </c>
      <c r="B523" t="s">
        <v>447</v>
      </c>
      <c r="C523" t="s">
        <v>1155</v>
      </c>
      <c r="D523" t="s">
        <v>75</v>
      </c>
      <c r="E523" t="s">
        <v>77</v>
      </c>
      <c r="F523" t="s">
        <v>313</v>
      </c>
      <c r="G523" t="s">
        <v>2</v>
      </c>
      <c r="H523">
        <v>4.0999999999999996</v>
      </c>
      <c r="I523">
        <v>10</v>
      </c>
      <c r="J523">
        <v>90</v>
      </c>
      <c r="K523" t="s">
        <v>33</v>
      </c>
      <c r="L523" t="s">
        <v>78</v>
      </c>
      <c r="M523" t="s">
        <v>44</v>
      </c>
      <c r="N523">
        <v>4</v>
      </c>
      <c r="O523">
        <v>4.5</v>
      </c>
    </row>
    <row r="524" spans="1:15" x14ac:dyDescent="0.3">
      <c r="A524" t="s">
        <v>1156</v>
      </c>
      <c r="B524" t="s">
        <v>59</v>
      </c>
      <c r="C524" t="s">
        <v>333</v>
      </c>
      <c r="D524" t="s">
        <v>75</v>
      </c>
      <c r="E524" t="s">
        <v>313</v>
      </c>
      <c r="F524" t="s">
        <v>77</v>
      </c>
      <c r="G524" t="s">
        <v>6</v>
      </c>
      <c r="H524">
        <v>14</v>
      </c>
      <c r="I524">
        <v>41</v>
      </c>
      <c r="J524">
        <v>334</v>
      </c>
      <c r="K524" t="s">
        <v>42</v>
      </c>
      <c r="L524" t="s">
        <v>43</v>
      </c>
      <c r="M524" t="s">
        <v>44</v>
      </c>
      <c r="N524">
        <v>4.8</v>
      </c>
      <c r="O524">
        <v>4.7</v>
      </c>
    </row>
    <row r="525" spans="1:15" x14ac:dyDescent="0.3">
      <c r="A525" t="s">
        <v>1157</v>
      </c>
      <c r="B525" t="s">
        <v>246</v>
      </c>
      <c r="C525" t="s">
        <v>214</v>
      </c>
      <c r="D525" t="s">
        <v>30</v>
      </c>
      <c r="E525" t="s">
        <v>32</v>
      </c>
      <c r="F525" t="s">
        <v>142</v>
      </c>
      <c r="G525" t="s">
        <v>6</v>
      </c>
      <c r="H525">
        <v>4.9000000000000004</v>
      </c>
      <c r="I525">
        <v>16</v>
      </c>
      <c r="J525">
        <v>131</v>
      </c>
      <c r="K525" t="s">
        <v>42</v>
      </c>
      <c r="L525" t="s">
        <v>78</v>
      </c>
      <c r="M525" t="s">
        <v>44</v>
      </c>
      <c r="N525">
        <v>5</v>
      </c>
      <c r="O525">
        <v>4.7</v>
      </c>
    </row>
    <row r="526" spans="1:15" x14ac:dyDescent="0.3">
      <c r="A526" t="s">
        <v>1158</v>
      </c>
      <c r="B526" t="s">
        <v>243</v>
      </c>
      <c r="C526" t="s">
        <v>1159</v>
      </c>
      <c r="D526" t="s">
        <v>158</v>
      </c>
      <c r="E526" t="s">
        <v>284</v>
      </c>
      <c r="F526" t="s">
        <v>283</v>
      </c>
      <c r="G526" t="s">
        <v>2</v>
      </c>
      <c r="H526">
        <v>7</v>
      </c>
      <c r="I526">
        <v>18</v>
      </c>
      <c r="J526">
        <v>101</v>
      </c>
      <c r="K526" t="s">
        <v>56</v>
      </c>
      <c r="L526" t="s">
        <v>57</v>
      </c>
      <c r="M526" t="s">
        <v>35</v>
      </c>
      <c r="N526">
        <v>4.0999999999999996</v>
      </c>
      <c r="O526">
        <v>4.8</v>
      </c>
    </row>
    <row r="527" spans="1:15" x14ac:dyDescent="0.3">
      <c r="A527" t="s">
        <v>1160</v>
      </c>
      <c r="B527" t="s">
        <v>166</v>
      </c>
      <c r="C527" t="s">
        <v>1155</v>
      </c>
      <c r="D527" t="s">
        <v>81</v>
      </c>
      <c r="E527" t="s">
        <v>268</v>
      </c>
      <c r="F527" t="s">
        <v>91</v>
      </c>
      <c r="G527" t="s">
        <v>5</v>
      </c>
      <c r="H527">
        <v>5.9</v>
      </c>
      <c r="I527">
        <v>18</v>
      </c>
      <c r="J527">
        <v>176</v>
      </c>
      <c r="K527" t="s">
        <v>33</v>
      </c>
      <c r="L527" t="s">
        <v>78</v>
      </c>
      <c r="M527" t="s">
        <v>44</v>
      </c>
      <c r="N527">
        <v>4.9000000000000004</v>
      </c>
      <c r="O527">
        <v>4.3</v>
      </c>
    </row>
    <row r="528" spans="1:15" x14ac:dyDescent="0.3">
      <c r="A528" t="s">
        <v>1161</v>
      </c>
      <c r="B528" t="s">
        <v>181</v>
      </c>
      <c r="C528" t="s">
        <v>666</v>
      </c>
      <c r="D528" t="s">
        <v>39</v>
      </c>
      <c r="E528" t="s">
        <v>356</v>
      </c>
      <c r="F528" t="s">
        <v>155</v>
      </c>
      <c r="G528" t="s">
        <v>6</v>
      </c>
      <c r="H528">
        <v>4</v>
      </c>
      <c r="I528">
        <v>17</v>
      </c>
      <c r="J528">
        <v>159</v>
      </c>
      <c r="K528" t="s">
        <v>102</v>
      </c>
      <c r="L528" t="s">
        <v>64</v>
      </c>
      <c r="M528" t="s">
        <v>44</v>
      </c>
      <c r="N528">
        <v>4.7</v>
      </c>
      <c r="O528">
        <v>5</v>
      </c>
    </row>
    <row r="529" spans="1:15" x14ac:dyDescent="0.3">
      <c r="A529" t="s">
        <v>1162</v>
      </c>
      <c r="B529" t="s">
        <v>104</v>
      </c>
      <c r="C529" t="s">
        <v>1163</v>
      </c>
      <c r="D529" t="s">
        <v>75</v>
      </c>
      <c r="E529" t="s">
        <v>394</v>
      </c>
      <c r="F529" t="s">
        <v>239</v>
      </c>
      <c r="G529" t="s">
        <v>4</v>
      </c>
      <c r="H529">
        <v>3.6</v>
      </c>
      <c r="I529">
        <v>7</v>
      </c>
      <c r="J529">
        <v>172</v>
      </c>
      <c r="K529" t="s">
        <v>102</v>
      </c>
      <c r="L529" t="s">
        <v>34</v>
      </c>
      <c r="M529" t="s">
        <v>35</v>
      </c>
      <c r="N529">
        <v>4.9000000000000004</v>
      </c>
      <c r="O529">
        <v>4.5</v>
      </c>
    </row>
    <row r="530" spans="1:15" x14ac:dyDescent="0.3">
      <c r="A530" t="s">
        <v>1164</v>
      </c>
      <c r="B530" t="s">
        <v>286</v>
      </c>
      <c r="C530" t="s">
        <v>635</v>
      </c>
      <c r="D530" t="s">
        <v>53</v>
      </c>
      <c r="E530" t="s">
        <v>221</v>
      </c>
      <c r="F530" t="s">
        <v>405</v>
      </c>
      <c r="G530" t="s">
        <v>6</v>
      </c>
      <c r="H530">
        <v>18.5</v>
      </c>
      <c r="I530">
        <v>30</v>
      </c>
      <c r="J530">
        <v>438</v>
      </c>
      <c r="K530" t="s">
        <v>42</v>
      </c>
      <c r="L530" t="s">
        <v>71</v>
      </c>
      <c r="M530" t="s">
        <v>44</v>
      </c>
      <c r="N530">
        <v>4.8</v>
      </c>
      <c r="O530">
        <v>4.8</v>
      </c>
    </row>
    <row r="531" spans="1:15" x14ac:dyDescent="0.3">
      <c r="A531" t="s">
        <v>1165</v>
      </c>
      <c r="B531" t="s">
        <v>927</v>
      </c>
      <c r="C531" t="s">
        <v>673</v>
      </c>
      <c r="D531" t="s">
        <v>61</v>
      </c>
      <c r="E531" t="s">
        <v>183</v>
      </c>
      <c r="F531" t="s">
        <v>96</v>
      </c>
      <c r="G531" t="s">
        <v>6</v>
      </c>
      <c r="H531">
        <v>10.1</v>
      </c>
      <c r="I531">
        <v>24</v>
      </c>
      <c r="J531">
        <v>273</v>
      </c>
      <c r="K531" t="s">
        <v>33</v>
      </c>
      <c r="L531" t="s">
        <v>64</v>
      </c>
      <c r="M531" t="s">
        <v>44</v>
      </c>
      <c r="N531">
        <v>4.8</v>
      </c>
      <c r="O531">
        <v>4.7</v>
      </c>
    </row>
    <row r="532" spans="1:15" x14ac:dyDescent="0.3">
      <c r="A532" t="s">
        <v>1166</v>
      </c>
      <c r="B532" t="s">
        <v>727</v>
      </c>
      <c r="C532" t="s">
        <v>1167</v>
      </c>
      <c r="D532" t="s">
        <v>68</v>
      </c>
      <c r="E532" t="s">
        <v>210</v>
      </c>
      <c r="F532" t="s">
        <v>130</v>
      </c>
      <c r="G532" t="s">
        <v>5</v>
      </c>
      <c r="H532">
        <v>21.7</v>
      </c>
      <c r="I532">
        <v>56</v>
      </c>
      <c r="J532">
        <v>625</v>
      </c>
      <c r="K532" t="s">
        <v>33</v>
      </c>
      <c r="L532" t="s">
        <v>71</v>
      </c>
      <c r="M532" t="s">
        <v>44</v>
      </c>
      <c r="N532">
        <v>4.5999999999999996</v>
      </c>
      <c r="O532">
        <v>4.7</v>
      </c>
    </row>
    <row r="533" spans="1:15" x14ac:dyDescent="0.3">
      <c r="A533" t="s">
        <v>1168</v>
      </c>
      <c r="B533" t="s">
        <v>468</v>
      </c>
      <c r="C533" t="s">
        <v>1169</v>
      </c>
      <c r="D533" t="s">
        <v>53</v>
      </c>
      <c r="E533" t="s">
        <v>86</v>
      </c>
      <c r="F533" t="s">
        <v>236</v>
      </c>
      <c r="G533" t="s">
        <v>2</v>
      </c>
      <c r="H533">
        <v>3.1</v>
      </c>
      <c r="I533">
        <v>18</v>
      </c>
      <c r="J533">
        <v>86</v>
      </c>
      <c r="K533" t="s">
        <v>42</v>
      </c>
      <c r="L533" t="s">
        <v>78</v>
      </c>
      <c r="M533" t="s">
        <v>44</v>
      </c>
      <c r="N533">
        <v>4.5</v>
      </c>
      <c r="O533">
        <v>5</v>
      </c>
    </row>
    <row r="534" spans="1:15" x14ac:dyDescent="0.3">
      <c r="A534" t="s">
        <v>1170</v>
      </c>
      <c r="B534" t="s">
        <v>205</v>
      </c>
      <c r="C534" t="s">
        <v>1171</v>
      </c>
      <c r="D534" t="s">
        <v>53</v>
      </c>
      <c r="E534" t="s">
        <v>515</v>
      </c>
      <c r="F534" t="s">
        <v>54</v>
      </c>
      <c r="G534" t="s">
        <v>7</v>
      </c>
      <c r="H534">
        <v>1.6</v>
      </c>
      <c r="I534">
        <v>11</v>
      </c>
      <c r="J534">
        <v>117</v>
      </c>
      <c r="K534" t="s">
        <v>42</v>
      </c>
      <c r="L534" t="s">
        <v>49</v>
      </c>
      <c r="M534" t="s">
        <v>44</v>
      </c>
      <c r="N534">
        <v>4.8</v>
      </c>
      <c r="O534">
        <v>5</v>
      </c>
    </row>
    <row r="535" spans="1:15" x14ac:dyDescent="0.3">
      <c r="A535" t="s">
        <v>1172</v>
      </c>
      <c r="B535" t="s">
        <v>447</v>
      </c>
      <c r="C535" t="s">
        <v>1173</v>
      </c>
      <c r="D535" t="s">
        <v>61</v>
      </c>
      <c r="E535" t="s">
        <v>328</v>
      </c>
      <c r="F535" t="s">
        <v>63</v>
      </c>
      <c r="G535" t="s">
        <v>5</v>
      </c>
      <c r="H535">
        <v>1.2</v>
      </c>
      <c r="I535">
        <v>6</v>
      </c>
      <c r="J535">
        <v>106</v>
      </c>
      <c r="K535" t="s">
        <v>33</v>
      </c>
      <c r="L535" t="s">
        <v>43</v>
      </c>
      <c r="M535" t="s">
        <v>44</v>
      </c>
      <c r="N535">
        <v>4.8</v>
      </c>
      <c r="O535">
        <v>4.7</v>
      </c>
    </row>
    <row r="536" spans="1:15" x14ac:dyDescent="0.3">
      <c r="A536" t="s">
        <v>1174</v>
      </c>
      <c r="B536" t="s">
        <v>148</v>
      </c>
      <c r="C536" t="s">
        <v>1175</v>
      </c>
      <c r="D536" t="s">
        <v>158</v>
      </c>
      <c r="E536" t="s">
        <v>319</v>
      </c>
      <c r="F536" t="s">
        <v>262</v>
      </c>
      <c r="G536" t="s">
        <v>6</v>
      </c>
      <c r="H536">
        <v>6.9</v>
      </c>
      <c r="I536">
        <v>12</v>
      </c>
      <c r="J536">
        <v>199</v>
      </c>
      <c r="K536" t="s">
        <v>33</v>
      </c>
      <c r="L536" t="s">
        <v>71</v>
      </c>
      <c r="M536" t="s">
        <v>44</v>
      </c>
      <c r="N536">
        <v>5</v>
      </c>
      <c r="O536">
        <v>5</v>
      </c>
    </row>
    <row r="537" spans="1:15" x14ac:dyDescent="0.3">
      <c r="A537" t="s">
        <v>1176</v>
      </c>
      <c r="B537" t="s">
        <v>66</v>
      </c>
      <c r="C537" t="s">
        <v>1177</v>
      </c>
      <c r="D537" t="s">
        <v>53</v>
      </c>
      <c r="E537" t="s">
        <v>86</v>
      </c>
      <c r="F537" t="s">
        <v>220</v>
      </c>
      <c r="G537" t="s">
        <v>6</v>
      </c>
      <c r="H537">
        <v>7</v>
      </c>
      <c r="I537">
        <v>14</v>
      </c>
      <c r="J537">
        <v>159</v>
      </c>
      <c r="K537" t="s">
        <v>42</v>
      </c>
      <c r="L537" t="s">
        <v>64</v>
      </c>
      <c r="M537" t="s">
        <v>44</v>
      </c>
      <c r="N537">
        <v>4.7</v>
      </c>
      <c r="O537">
        <v>4.5</v>
      </c>
    </row>
    <row r="538" spans="1:15" x14ac:dyDescent="0.3">
      <c r="A538" t="s">
        <v>1178</v>
      </c>
      <c r="B538" t="s">
        <v>144</v>
      </c>
      <c r="C538" t="s">
        <v>652</v>
      </c>
      <c r="D538" t="s">
        <v>75</v>
      </c>
      <c r="E538" t="s">
        <v>146</v>
      </c>
      <c r="F538" t="s">
        <v>230</v>
      </c>
      <c r="G538" t="s">
        <v>7</v>
      </c>
      <c r="H538">
        <v>8.4</v>
      </c>
      <c r="I538">
        <v>19</v>
      </c>
      <c r="J538">
        <v>260</v>
      </c>
      <c r="K538" t="s">
        <v>42</v>
      </c>
      <c r="L538" t="s">
        <v>78</v>
      </c>
      <c r="M538" t="s">
        <v>44</v>
      </c>
      <c r="N538">
        <v>4.9000000000000004</v>
      </c>
      <c r="O538">
        <v>5</v>
      </c>
    </row>
    <row r="539" spans="1:15" x14ac:dyDescent="0.3">
      <c r="A539" t="s">
        <v>1179</v>
      </c>
      <c r="B539" t="s">
        <v>98</v>
      </c>
      <c r="C539" t="s">
        <v>1180</v>
      </c>
      <c r="D539" t="s">
        <v>61</v>
      </c>
      <c r="E539" t="s">
        <v>63</v>
      </c>
      <c r="F539" t="s">
        <v>96</v>
      </c>
      <c r="G539" t="s">
        <v>5</v>
      </c>
      <c r="H539">
        <v>2.8</v>
      </c>
      <c r="I539">
        <v>5</v>
      </c>
      <c r="J539">
        <v>128</v>
      </c>
      <c r="K539" t="s">
        <v>33</v>
      </c>
      <c r="L539" t="s">
        <v>34</v>
      </c>
      <c r="M539" t="s">
        <v>35</v>
      </c>
      <c r="N539">
        <v>5</v>
      </c>
      <c r="O539">
        <v>4.9000000000000004</v>
      </c>
    </row>
    <row r="540" spans="1:15" x14ac:dyDescent="0.3">
      <c r="A540" t="s">
        <v>1181</v>
      </c>
      <c r="B540" t="s">
        <v>205</v>
      </c>
      <c r="C540" t="s">
        <v>1182</v>
      </c>
      <c r="D540" t="s">
        <v>106</v>
      </c>
      <c r="E540" t="s">
        <v>290</v>
      </c>
      <c r="F540" t="s">
        <v>108</v>
      </c>
      <c r="G540" t="s">
        <v>4</v>
      </c>
      <c r="H540">
        <v>1.3</v>
      </c>
      <c r="I540">
        <v>5</v>
      </c>
      <c r="J540">
        <v>140</v>
      </c>
      <c r="K540" t="s">
        <v>375</v>
      </c>
      <c r="L540" t="s">
        <v>78</v>
      </c>
      <c r="M540" t="s">
        <v>44</v>
      </c>
      <c r="N540">
        <v>4.5</v>
      </c>
      <c r="O540">
        <v>4.8</v>
      </c>
    </row>
    <row r="541" spans="1:15" x14ac:dyDescent="0.3">
      <c r="A541" t="s">
        <v>1183</v>
      </c>
      <c r="B541" t="s">
        <v>562</v>
      </c>
      <c r="C541" t="s">
        <v>1184</v>
      </c>
      <c r="D541" t="s">
        <v>158</v>
      </c>
      <c r="E541" t="s">
        <v>262</v>
      </c>
      <c r="F541" t="s">
        <v>319</v>
      </c>
      <c r="G541" t="s">
        <v>6</v>
      </c>
      <c r="H541">
        <v>3</v>
      </c>
      <c r="I541">
        <v>13</v>
      </c>
      <c r="J541">
        <v>125</v>
      </c>
      <c r="K541" t="s">
        <v>33</v>
      </c>
      <c r="L541" t="s">
        <v>64</v>
      </c>
      <c r="M541" t="s">
        <v>44</v>
      </c>
      <c r="N541">
        <v>4.7</v>
      </c>
      <c r="O541">
        <v>4.9000000000000004</v>
      </c>
    </row>
    <row r="542" spans="1:15" x14ac:dyDescent="0.3">
      <c r="A542" t="s">
        <v>1185</v>
      </c>
      <c r="B542" t="s">
        <v>264</v>
      </c>
      <c r="C542" t="s">
        <v>1186</v>
      </c>
      <c r="D542" t="s">
        <v>81</v>
      </c>
      <c r="E542" t="s">
        <v>83</v>
      </c>
      <c r="F542" t="s">
        <v>82</v>
      </c>
      <c r="G542" t="s">
        <v>6</v>
      </c>
      <c r="H542">
        <v>14.8</v>
      </c>
      <c r="I542">
        <v>19</v>
      </c>
      <c r="J542">
        <v>302</v>
      </c>
      <c r="K542" t="s">
        <v>102</v>
      </c>
      <c r="L542" t="s">
        <v>78</v>
      </c>
      <c r="M542" t="s">
        <v>44</v>
      </c>
      <c r="N542">
        <v>4.5999999999999996</v>
      </c>
      <c r="O542">
        <v>4.5999999999999996</v>
      </c>
    </row>
    <row r="543" spans="1:15" x14ac:dyDescent="0.3">
      <c r="A543" t="s">
        <v>1187</v>
      </c>
      <c r="B543" t="s">
        <v>689</v>
      </c>
      <c r="C543" t="s">
        <v>1188</v>
      </c>
      <c r="D543" t="s">
        <v>61</v>
      </c>
      <c r="E543" t="s">
        <v>328</v>
      </c>
      <c r="F543" t="s">
        <v>62</v>
      </c>
      <c r="G543" t="s">
        <v>2</v>
      </c>
      <c r="H543">
        <v>3.2</v>
      </c>
      <c r="I543">
        <v>15</v>
      </c>
      <c r="J543">
        <v>71</v>
      </c>
      <c r="K543" t="s">
        <v>102</v>
      </c>
      <c r="L543" t="s">
        <v>34</v>
      </c>
      <c r="M543" t="s">
        <v>35</v>
      </c>
      <c r="N543">
        <v>4.5999999999999996</v>
      </c>
      <c r="O543">
        <v>4.5999999999999996</v>
      </c>
    </row>
    <row r="544" spans="1:15" x14ac:dyDescent="0.3">
      <c r="A544" t="s">
        <v>1189</v>
      </c>
      <c r="B544" t="s">
        <v>647</v>
      </c>
      <c r="C544" t="s">
        <v>917</v>
      </c>
      <c r="D544" t="s">
        <v>39</v>
      </c>
      <c r="E544" t="s">
        <v>484</v>
      </c>
      <c r="F544" t="s">
        <v>154</v>
      </c>
      <c r="G544" t="s">
        <v>7</v>
      </c>
      <c r="H544">
        <v>8</v>
      </c>
      <c r="I544">
        <v>22</v>
      </c>
      <c r="J544">
        <v>225</v>
      </c>
      <c r="K544" t="s">
        <v>33</v>
      </c>
      <c r="L544" t="s">
        <v>78</v>
      </c>
      <c r="M544" t="s">
        <v>44</v>
      </c>
      <c r="N544">
        <v>4.5</v>
      </c>
      <c r="O544">
        <v>4.8</v>
      </c>
    </row>
    <row r="545" spans="1:15" x14ac:dyDescent="0.3">
      <c r="A545" t="s">
        <v>1190</v>
      </c>
      <c r="B545" t="s">
        <v>166</v>
      </c>
      <c r="C545" t="s">
        <v>1191</v>
      </c>
      <c r="D545" t="s">
        <v>53</v>
      </c>
      <c r="E545" t="s">
        <v>405</v>
      </c>
      <c r="F545" t="s">
        <v>236</v>
      </c>
      <c r="G545" t="s">
        <v>6</v>
      </c>
      <c r="H545">
        <v>9.9</v>
      </c>
      <c r="I545">
        <v>29</v>
      </c>
      <c r="J545">
        <v>216</v>
      </c>
      <c r="K545" t="s">
        <v>56</v>
      </c>
      <c r="L545" t="s">
        <v>57</v>
      </c>
      <c r="M545" t="s">
        <v>35</v>
      </c>
      <c r="N545">
        <v>5</v>
      </c>
      <c r="O545">
        <v>4.7</v>
      </c>
    </row>
    <row r="546" spans="1:15" x14ac:dyDescent="0.3">
      <c r="A546" t="s">
        <v>1192</v>
      </c>
      <c r="B546" t="s">
        <v>349</v>
      </c>
      <c r="C546" t="s">
        <v>47</v>
      </c>
      <c r="D546" t="s">
        <v>61</v>
      </c>
      <c r="E546" t="s">
        <v>63</v>
      </c>
      <c r="F546" t="s">
        <v>96</v>
      </c>
      <c r="G546" t="s">
        <v>6</v>
      </c>
      <c r="H546">
        <v>7.2</v>
      </c>
      <c r="I546">
        <v>19</v>
      </c>
      <c r="J546">
        <v>191</v>
      </c>
      <c r="K546" t="s">
        <v>33</v>
      </c>
      <c r="L546" t="s">
        <v>49</v>
      </c>
      <c r="M546" t="s">
        <v>44</v>
      </c>
      <c r="N546">
        <v>4.5999999999999996</v>
      </c>
      <c r="O546">
        <v>4.9000000000000004</v>
      </c>
    </row>
    <row r="547" spans="1:15" x14ac:dyDescent="0.3">
      <c r="A547" t="s">
        <v>1193</v>
      </c>
      <c r="B547" t="s">
        <v>66</v>
      </c>
      <c r="C547" t="s">
        <v>591</v>
      </c>
      <c r="D547" t="s">
        <v>61</v>
      </c>
      <c r="E547" t="s">
        <v>328</v>
      </c>
      <c r="F547" t="s">
        <v>191</v>
      </c>
      <c r="G547" t="s">
        <v>6</v>
      </c>
      <c r="H547">
        <v>1</v>
      </c>
      <c r="I547">
        <v>5</v>
      </c>
      <c r="J547">
        <v>60</v>
      </c>
      <c r="K547" t="s">
        <v>192</v>
      </c>
      <c r="L547" t="s">
        <v>78</v>
      </c>
      <c r="M547" t="s">
        <v>44</v>
      </c>
      <c r="N547">
        <v>4.4000000000000004</v>
      </c>
      <c r="O547">
        <v>4.5999999999999996</v>
      </c>
    </row>
    <row r="548" spans="1:15" x14ac:dyDescent="0.3">
      <c r="A548" t="s">
        <v>1194</v>
      </c>
      <c r="B548" t="s">
        <v>297</v>
      </c>
      <c r="C548" t="s">
        <v>1195</v>
      </c>
      <c r="D548" t="s">
        <v>106</v>
      </c>
      <c r="E548" t="s">
        <v>290</v>
      </c>
      <c r="F548" t="s">
        <v>168</v>
      </c>
      <c r="G548" t="s">
        <v>6</v>
      </c>
      <c r="H548">
        <v>4.9000000000000004</v>
      </c>
      <c r="I548">
        <v>14</v>
      </c>
      <c r="J548">
        <v>126</v>
      </c>
      <c r="K548" t="s">
        <v>33</v>
      </c>
      <c r="L548" t="s">
        <v>161</v>
      </c>
      <c r="M548" t="s">
        <v>35</v>
      </c>
      <c r="N548">
        <v>4.7</v>
      </c>
      <c r="O548">
        <v>4.9000000000000004</v>
      </c>
    </row>
    <row r="549" spans="1:15" x14ac:dyDescent="0.3">
      <c r="A549" t="s">
        <v>1196</v>
      </c>
      <c r="B549" t="s">
        <v>225</v>
      </c>
      <c r="C549" t="s">
        <v>1197</v>
      </c>
      <c r="D549" t="s">
        <v>81</v>
      </c>
      <c r="E549" t="s">
        <v>82</v>
      </c>
      <c r="F549" t="s">
        <v>90</v>
      </c>
      <c r="G549" t="s">
        <v>6</v>
      </c>
      <c r="H549">
        <v>2.8</v>
      </c>
      <c r="I549">
        <v>7</v>
      </c>
      <c r="J549">
        <v>94</v>
      </c>
      <c r="K549" t="s">
        <v>375</v>
      </c>
      <c r="L549" t="s">
        <v>49</v>
      </c>
      <c r="M549" t="s">
        <v>44</v>
      </c>
      <c r="N549">
        <v>4.4000000000000004</v>
      </c>
      <c r="O549">
        <v>4.8</v>
      </c>
    </row>
    <row r="550" spans="1:15" x14ac:dyDescent="0.3">
      <c r="A550" t="s">
        <v>1198</v>
      </c>
      <c r="B550" t="s">
        <v>28</v>
      </c>
      <c r="C550" t="s">
        <v>1199</v>
      </c>
      <c r="D550" t="s">
        <v>39</v>
      </c>
      <c r="E550" t="s">
        <v>48</v>
      </c>
      <c r="F550" t="s">
        <v>278</v>
      </c>
      <c r="G550" t="s">
        <v>6</v>
      </c>
      <c r="H550">
        <v>3.1</v>
      </c>
      <c r="I550">
        <v>13</v>
      </c>
      <c r="J550">
        <v>112</v>
      </c>
      <c r="K550" t="s">
        <v>33</v>
      </c>
      <c r="L550" t="s">
        <v>49</v>
      </c>
      <c r="M550" t="s">
        <v>44</v>
      </c>
      <c r="N550">
        <v>4.9000000000000004</v>
      </c>
      <c r="O550">
        <v>4.8</v>
      </c>
    </row>
    <row r="551" spans="1:15" x14ac:dyDescent="0.3">
      <c r="A551" t="s">
        <v>1200</v>
      </c>
      <c r="B551" t="s">
        <v>294</v>
      </c>
      <c r="C551" t="s">
        <v>1201</v>
      </c>
      <c r="D551" t="s">
        <v>30</v>
      </c>
      <c r="E551" t="s">
        <v>31</v>
      </c>
      <c r="F551" t="s">
        <v>32</v>
      </c>
      <c r="G551" t="s">
        <v>5</v>
      </c>
      <c r="H551">
        <v>9.3000000000000007</v>
      </c>
      <c r="I551">
        <v>31</v>
      </c>
      <c r="J551">
        <v>223</v>
      </c>
      <c r="K551" t="s">
        <v>42</v>
      </c>
      <c r="L551" t="s">
        <v>64</v>
      </c>
      <c r="M551" t="s">
        <v>44</v>
      </c>
      <c r="N551">
        <v>4.3</v>
      </c>
      <c r="O551">
        <v>5</v>
      </c>
    </row>
    <row r="552" spans="1:15" x14ac:dyDescent="0.3">
      <c r="A552" t="s">
        <v>1202</v>
      </c>
      <c r="B552" t="s">
        <v>104</v>
      </c>
      <c r="C552" t="s">
        <v>671</v>
      </c>
      <c r="D552" t="s">
        <v>61</v>
      </c>
      <c r="E552" t="s">
        <v>191</v>
      </c>
      <c r="F552" t="s">
        <v>116</v>
      </c>
      <c r="G552" t="s">
        <v>2</v>
      </c>
      <c r="H552">
        <v>2.1</v>
      </c>
      <c r="I552">
        <v>10</v>
      </c>
      <c r="J552">
        <v>84</v>
      </c>
      <c r="K552" t="s">
        <v>33</v>
      </c>
      <c r="L552" t="s">
        <v>64</v>
      </c>
      <c r="M552" t="s">
        <v>44</v>
      </c>
      <c r="N552">
        <v>4.9000000000000004</v>
      </c>
      <c r="O552">
        <v>4.5999999999999996</v>
      </c>
    </row>
    <row r="553" spans="1:15" x14ac:dyDescent="0.3">
      <c r="A553" t="s">
        <v>1203</v>
      </c>
      <c r="B553" t="s">
        <v>66</v>
      </c>
      <c r="C553" t="s">
        <v>1204</v>
      </c>
      <c r="D553" t="s">
        <v>39</v>
      </c>
      <c r="E553" t="s">
        <v>356</v>
      </c>
      <c r="F553" t="s">
        <v>278</v>
      </c>
      <c r="G553" t="s">
        <v>6</v>
      </c>
      <c r="H553">
        <v>3.8</v>
      </c>
      <c r="I553">
        <v>13</v>
      </c>
      <c r="J553">
        <v>138</v>
      </c>
      <c r="K553" t="s">
        <v>102</v>
      </c>
      <c r="L553" t="s">
        <v>78</v>
      </c>
      <c r="M553" t="s">
        <v>44</v>
      </c>
      <c r="N553">
        <v>4.5999999999999996</v>
      </c>
      <c r="O553">
        <v>4.5</v>
      </c>
    </row>
    <row r="554" spans="1:15" x14ac:dyDescent="0.3">
      <c r="A554" t="s">
        <v>1205</v>
      </c>
      <c r="B554" t="s">
        <v>232</v>
      </c>
      <c r="C554" t="s">
        <v>1206</v>
      </c>
      <c r="D554" t="s">
        <v>158</v>
      </c>
      <c r="E554" t="s">
        <v>334</v>
      </c>
      <c r="F554" t="s">
        <v>284</v>
      </c>
      <c r="G554" t="s">
        <v>6</v>
      </c>
      <c r="H554">
        <v>6.5</v>
      </c>
      <c r="I554">
        <v>18</v>
      </c>
      <c r="J554">
        <v>175</v>
      </c>
      <c r="K554" t="s">
        <v>102</v>
      </c>
      <c r="L554" t="s">
        <v>34</v>
      </c>
      <c r="M554" t="s">
        <v>35</v>
      </c>
      <c r="N554">
        <v>4.5999999999999996</v>
      </c>
      <c r="O554">
        <v>4.7</v>
      </c>
    </row>
    <row r="555" spans="1:15" x14ac:dyDescent="0.3">
      <c r="A555" t="s">
        <v>1207</v>
      </c>
      <c r="B555" t="s">
        <v>297</v>
      </c>
      <c r="C555" t="s">
        <v>250</v>
      </c>
      <c r="D555" t="s">
        <v>75</v>
      </c>
      <c r="E555" t="s">
        <v>230</v>
      </c>
      <c r="F555" t="s">
        <v>239</v>
      </c>
      <c r="G555" t="s">
        <v>6</v>
      </c>
      <c r="H555">
        <v>19.7</v>
      </c>
      <c r="I555">
        <v>55</v>
      </c>
      <c r="J555">
        <v>350</v>
      </c>
      <c r="K555" t="s">
        <v>33</v>
      </c>
      <c r="L555" t="s">
        <v>49</v>
      </c>
      <c r="M555" t="s">
        <v>44</v>
      </c>
      <c r="N555">
        <v>4.5</v>
      </c>
      <c r="O555">
        <v>4.9000000000000004</v>
      </c>
    </row>
    <row r="556" spans="1:15" x14ac:dyDescent="0.3">
      <c r="A556" t="s">
        <v>1208</v>
      </c>
      <c r="B556" t="s">
        <v>463</v>
      </c>
      <c r="C556" t="s">
        <v>1209</v>
      </c>
      <c r="D556" t="s">
        <v>81</v>
      </c>
      <c r="E556" t="s">
        <v>82</v>
      </c>
      <c r="F556" t="s">
        <v>83</v>
      </c>
      <c r="G556" t="s">
        <v>7</v>
      </c>
      <c r="H556">
        <v>5.9</v>
      </c>
      <c r="I556">
        <v>11</v>
      </c>
      <c r="J556">
        <v>194</v>
      </c>
      <c r="K556" t="s">
        <v>102</v>
      </c>
      <c r="L556" t="s">
        <v>43</v>
      </c>
      <c r="M556" t="s">
        <v>44</v>
      </c>
      <c r="N556">
        <v>5</v>
      </c>
      <c r="O556">
        <v>4.7</v>
      </c>
    </row>
    <row r="557" spans="1:15" x14ac:dyDescent="0.3">
      <c r="A557" t="s">
        <v>1210</v>
      </c>
      <c r="B557" t="s">
        <v>93</v>
      </c>
      <c r="C557" t="s">
        <v>791</v>
      </c>
      <c r="D557" t="s">
        <v>61</v>
      </c>
      <c r="E557" t="s">
        <v>63</v>
      </c>
      <c r="F557" t="s">
        <v>191</v>
      </c>
      <c r="G557" t="s">
        <v>6</v>
      </c>
      <c r="H557">
        <v>1.4</v>
      </c>
      <c r="I557">
        <v>5</v>
      </c>
      <c r="J557">
        <v>99</v>
      </c>
      <c r="K557" t="s">
        <v>33</v>
      </c>
      <c r="L557" t="s">
        <v>71</v>
      </c>
      <c r="M557" t="s">
        <v>44</v>
      </c>
      <c r="N557">
        <v>4.9000000000000004</v>
      </c>
      <c r="O557">
        <v>5</v>
      </c>
    </row>
    <row r="558" spans="1:15" x14ac:dyDescent="0.3">
      <c r="A558" t="s">
        <v>1211</v>
      </c>
      <c r="B558" t="s">
        <v>243</v>
      </c>
      <c r="C558" t="s">
        <v>1212</v>
      </c>
      <c r="D558" t="s">
        <v>30</v>
      </c>
      <c r="E558" t="s">
        <v>31</v>
      </c>
      <c r="F558" t="s">
        <v>138</v>
      </c>
      <c r="G558" t="s">
        <v>7</v>
      </c>
      <c r="H558">
        <v>1.8</v>
      </c>
      <c r="I558">
        <v>16</v>
      </c>
      <c r="J558">
        <v>183</v>
      </c>
      <c r="K558" t="s">
        <v>33</v>
      </c>
      <c r="L558" t="s">
        <v>64</v>
      </c>
      <c r="M558" t="s">
        <v>44</v>
      </c>
      <c r="N558">
        <v>4.5</v>
      </c>
      <c r="O558">
        <v>4.5999999999999996</v>
      </c>
    </row>
    <row r="559" spans="1:15" x14ac:dyDescent="0.3">
      <c r="A559" t="s">
        <v>1213</v>
      </c>
      <c r="B559" t="s">
        <v>403</v>
      </c>
      <c r="C559" t="s">
        <v>60</v>
      </c>
      <c r="D559" t="s">
        <v>158</v>
      </c>
      <c r="E559" t="s">
        <v>334</v>
      </c>
      <c r="F559" t="s">
        <v>283</v>
      </c>
      <c r="G559" t="s">
        <v>4</v>
      </c>
      <c r="H559">
        <v>4.2</v>
      </c>
      <c r="I559">
        <v>5</v>
      </c>
      <c r="J559">
        <v>191</v>
      </c>
      <c r="K559" t="s">
        <v>102</v>
      </c>
      <c r="L559" t="s">
        <v>64</v>
      </c>
      <c r="M559" t="s">
        <v>44</v>
      </c>
      <c r="N559">
        <v>5</v>
      </c>
      <c r="O559">
        <v>4.5</v>
      </c>
    </row>
    <row r="560" spans="1:15" x14ac:dyDescent="0.3">
      <c r="A560" t="s">
        <v>1214</v>
      </c>
      <c r="B560" t="s">
        <v>225</v>
      </c>
      <c r="C560" t="s">
        <v>353</v>
      </c>
      <c r="D560" t="s">
        <v>30</v>
      </c>
      <c r="E560" t="s">
        <v>179</v>
      </c>
      <c r="F560" t="s">
        <v>101</v>
      </c>
      <c r="G560" t="s">
        <v>2</v>
      </c>
      <c r="H560">
        <v>3.7</v>
      </c>
      <c r="I560">
        <v>16</v>
      </c>
      <c r="J560">
        <v>68</v>
      </c>
      <c r="K560" t="s">
        <v>33</v>
      </c>
      <c r="L560" t="s">
        <v>49</v>
      </c>
      <c r="M560" t="s">
        <v>44</v>
      </c>
      <c r="N560">
        <v>4.8</v>
      </c>
      <c r="O560">
        <v>4.9000000000000004</v>
      </c>
    </row>
    <row r="561" spans="1:15" x14ac:dyDescent="0.3">
      <c r="A561" t="s">
        <v>1215</v>
      </c>
      <c r="B561" t="s">
        <v>59</v>
      </c>
      <c r="C561" t="s">
        <v>412</v>
      </c>
      <c r="D561" t="s">
        <v>158</v>
      </c>
      <c r="E561" t="s">
        <v>160</v>
      </c>
      <c r="F561" t="s">
        <v>262</v>
      </c>
      <c r="G561" t="s">
        <v>6</v>
      </c>
      <c r="H561">
        <v>3.1</v>
      </c>
      <c r="I561">
        <v>5</v>
      </c>
      <c r="J561">
        <v>114</v>
      </c>
      <c r="K561" t="s">
        <v>375</v>
      </c>
      <c r="L561" t="s">
        <v>49</v>
      </c>
      <c r="M561" t="s">
        <v>44</v>
      </c>
      <c r="N561">
        <v>4.9000000000000004</v>
      </c>
      <c r="O561">
        <v>4.9000000000000004</v>
      </c>
    </row>
    <row r="562" spans="1:15" x14ac:dyDescent="0.3">
      <c r="A562" t="s">
        <v>1216</v>
      </c>
      <c r="B562" t="s">
        <v>727</v>
      </c>
      <c r="C562" t="s">
        <v>913</v>
      </c>
      <c r="D562" t="s">
        <v>106</v>
      </c>
      <c r="E562" t="s">
        <v>187</v>
      </c>
      <c r="F562" t="s">
        <v>126</v>
      </c>
      <c r="G562" t="s">
        <v>6</v>
      </c>
      <c r="H562">
        <v>5.9</v>
      </c>
      <c r="I562">
        <v>6</v>
      </c>
      <c r="J562">
        <v>133</v>
      </c>
      <c r="K562" t="s">
        <v>102</v>
      </c>
      <c r="L562" t="s">
        <v>43</v>
      </c>
      <c r="M562" t="s">
        <v>44</v>
      </c>
      <c r="N562">
        <v>4.3</v>
      </c>
      <c r="O562">
        <v>4.9000000000000004</v>
      </c>
    </row>
    <row r="563" spans="1:15" x14ac:dyDescent="0.3">
      <c r="A563" t="s">
        <v>1217</v>
      </c>
      <c r="B563" t="s">
        <v>270</v>
      </c>
      <c r="C563" t="s">
        <v>1218</v>
      </c>
      <c r="D563" t="s">
        <v>30</v>
      </c>
      <c r="E563" t="s">
        <v>138</v>
      </c>
      <c r="F563" t="s">
        <v>100</v>
      </c>
      <c r="G563" t="s">
        <v>2</v>
      </c>
      <c r="H563">
        <v>8.3000000000000007</v>
      </c>
      <c r="I563">
        <v>27</v>
      </c>
      <c r="J563">
        <v>157</v>
      </c>
      <c r="K563" t="s">
        <v>33</v>
      </c>
      <c r="L563" t="s">
        <v>71</v>
      </c>
      <c r="M563" t="s">
        <v>44</v>
      </c>
      <c r="N563">
        <v>4.2</v>
      </c>
      <c r="O563">
        <v>4.7</v>
      </c>
    </row>
    <row r="564" spans="1:15" x14ac:dyDescent="0.3">
      <c r="A564" t="s">
        <v>1219</v>
      </c>
      <c r="B564" t="s">
        <v>110</v>
      </c>
      <c r="C564" t="s">
        <v>1220</v>
      </c>
      <c r="D564" t="s">
        <v>53</v>
      </c>
      <c r="E564" t="s">
        <v>236</v>
      </c>
      <c r="F564" t="s">
        <v>515</v>
      </c>
      <c r="G564" t="s">
        <v>6</v>
      </c>
      <c r="H564">
        <v>3.5</v>
      </c>
      <c r="I564">
        <v>17</v>
      </c>
      <c r="J564">
        <v>119</v>
      </c>
      <c r="K564" t="s">
        <v>42</v>
      </c>
      <c r="L564" t="s">
        <v>49</v>
      </c>
      <c r="M564" t="s">
        <v>44</v>
      </c>
      <c r="N564">
        <v>4.5</v>
      </c>
      <c r="O564">
        <v>5</v>
      </c>
    </row>
    <row r="565" spans="1:15" x14ac:dyDescent="0.3">
      <c r="A565" t="s">
        <v>1221</v>
      </c>
      <c r="B565" t="s">
        <v>246</v>
      </c>
      <c r="C565" t="s">
        <v>1222</v>
      </c>
      <c r="D565" t="s">
        <v>61</v>
      </c>
      <c r="E565" t="s">
        <v>95</v>
      </c>
      <c r="F565" t="s">
        <v>62</v>
      </c>
      <c r="G565" t="s">
        <v>3</v>
      </c>
      <c r="H565">
        <v>1</v>
      </c>
      <c r="I565">
        <v>10</v>
      </c>
      <c r="J565">
        <v>160</v>
      </c>
      <c r="K565" t="s">
        <v>192</v>
      </c>
      <c r="L565" t="s">
        <v>64</v>
      </c>
      <c r="M565" t="s">
        <v>44</v>
      </c>
      <c r="N565">
        <v>4.7</v>
      </c>
      <c r="O565">
        <v>4.5999999999999996</v>
      </c>
    </row>
    <row r="566" spans="1:15" x14ac:dyDescent="0.3">
      <c r="A566" t="s">
        <v>1223</v>
      </c>
      <c r="B566" t="s">
        <v>410</v>
      </c>
      <c r="C566" t="s">
        <v>1224</v>
      </c>
      <c r="D566" t="s">
        <v>53</v>
      </c>
      <c r="E566" t="s">
        <v>236</v>
      </c>
      <c r="F566" t="s">
        <v>86</v>
      </c>
      <c r="G566" t="s">
        <v>7</v>
      </c>
      <c r="H566">
        <v>7.8</v>
      </c>
      <c r="I566">
        <v>18</v>
      </c>
      <c r="J566">
        <v>272</v>
      </c>
      <c r="K566" t="s">
        <v>33</v>
      </c>
      <c r="L566" t="s">
        <v>43</v>
      </c>
      <c r="M566" t="s">
        <v>44</v>
      </c>
      <c r="N566">
        <v>4.0999999999999996</v>
      </c>
      <c r="O566">
        <v>5</v>
      </c>
    </row>
    <row r="567" spans="1:15" x14ac:dyDescent="0.3">
      <c r="A567" t="s">
        <v>1225</v>
      </c>
      <c r="B567" t="s">
        <v>270</v>
      </c>
      <c r="C567" t="s">
        <v>917</v>
      </c>
      <c r="D567" t="s">
        <v>106</v>
      </c>
      <c r="E567" t="s">
        <v>443</v>
      </c>
      <c r="F567" t="s">
        <v>107</v>
      </c>
      <c r="G567" t="s">
        <v>6</v>
      </c>
      <c r="H567">
        <v>8.9</v>
      </c>
      <c r="I567">
        <v>22</v>
      </c>
      <c r="J567">
        <v>202</v>
      </c>
      <c r="K567" t="s">
        <v>33</v>
      </c>
      <c r="L567" t="s">
        <v>78</v>
      </c>
      <c r="M567" t="s">
        <v>44</v>
      </c>
      <c r="N567">
        <v>4.9000000000000004</v>
      </c>
      <c r="O567">
        <v>4.9000000000000004</v>
      </c>
    </row>
    <row r="568" spans="1:15" x14ac:dyDescent="0.3">
      <c r="A568" t="s">
        <v>1226</v>
      </c>
      <c r="B568" t="s">
        <v>166</v>
      </c>
      <c r="C568" t="s">
        <v>1227</v>
      </c>
      <c r="D568" t="s">
        <v>53</v>
      </c>
      <c r="E568" t="s">
        <v>220</v>
      </c>
      <c r="F568" t="s">
        <v>405</v>
      </c>
      <c r="G568" t="s">
        <v>2</v>
      </c>
      <c r="H568">
        <v>4.5999999999999996</v>
      </c>
      <c r="I568">
        <v>12</v>
      </c>
      <c r="J568">
        <v>75</v>
      </c>
      <c r="K568" t="s">
        <v>192</v>
      </c>
      <c r="L568" t="s">
        <v>43</v>
      </c>
      <c r="M568" t="s">
        <v>44</v>
      </c>
      <c r="N568">
        <v>4.9000000000000004</v>
      </c>
      <c r="O568">
        <v>4.9000000000000004</v>
      </c>
    </row>
    <row r="569" spans="1:15" x14ac:dyDescent="0.3">
      <c r="A569" t="s">
        <v>1228</v>
      </c>
      <c r="B569" t="s">
        <v>373</v>
      </c>
      <c r="C569" t="s">
        <v>1229</v>
      </c>
      <c r="D569" t="s">
        <v>53</v>
      </c>
      <c r="E569" t="s">
        <v>236</v>
      </c>
      <c r="F569" t="s">
        <v>405</v>
      </c>
      <c r="G569" t="s">
        <v>6</v>
      </c>
      <c r="H569">
        <v>11.6</v>
      </c>
      <c r="I569">
        <v>29</v>
      </c>
      <c r="J569">
        <v>232</v>
      </c>
      <c r="K569" t="s">
        <v>102</v>
      </c>
      <c r="L569" t="s">
        <v>78</v>
      </c>
      <c r="M569" t="s">
        <v>44</v>
      </c>
      <c r="N569">
        <v>4.9000000000000004</v>
      </c>
      <c r="O569">
        <v>5</v>
      </c>
    </row>
    <row r="570" spans="1:15" x14ac:dyDescent="0.3">
      <c r="A570" t="s">
        <v>1230</v>
      </c>
      <c r="B570" t="s">
        <v>110</v>
      </c>
      <c r="C570" t="s">
        <v>658</v>
      </c>
      <c r="D570" t="s">
        <v>61</v>
      </c>
      <c r="E570" t="s">
        <v>63</v>
      </c>
      <c r="F570" t="s">
        <v>95</v>
      </c>
      <c r="G570" t="s">
        <v>6</v>
      </c>
      <c r="H570">
        <v>6</v>
      </c>
      <c r="I570">
        <v>16</v>
      </c>
      <c r="J570">
        <v>179</v>
      </c>
      <c r="K570" t="s">
        <v>102</v>
      </c>
      <c r="L570" t="s">
        <v>78</v>
      </c>
      <c r="M570" t="s">
        <v>44</v>
      </c>
      <c r="N570">
        <v>4.9000000000000004</v>
      </c>
      <c r="O570">
        <v>4.8</v>
      </c>
    </row>
    <row r="571" spans="1:15" x14ac:dyDescent="0.3">
      <c r="A571" t="s">
        <v>1231</v>
      </c>
      <c r="B571" t="s">
        <v>647</v>
      </c>
      <c r="C571" t="s">
        <v>1232</v>
      </c>
      <c r="D571" t="s">
        <v>53</v>
      </c>
      <c r="E571" t="s">
        <v>220</v>
      </c>
      <c r="F571" t="s">
        <v>236</v>
      </c>
      <c r="G571" t="s">
        <v>2</v>
      </c>
      <c r="H571">
        <v>5.9</v>
      </c>
      <c r="I571">
        <v>21</v>
      </c>
      <c r="J571">
        <v>98</v>
      </c>
      <c r="K571" t="s">
        <v>56</v>
      </c>
      <c r="L571" t="s">
        <v>161</v>
      </c>
      <c r="M571" t="s">
        <v>35</v>
      </c>
      <c r="N571">
        <v>4.8</v>
      </c>
      <c r="O571">
        <v>5</v>
      </c>
    </row>
    <row r="572" spans="1:15" x14ac:dyDescent="0.3">
      <c r="A572" t="s">
        <v>1233</v>
      </c>
      <c r="B572" t="s">
        <v>104</v>
      </c>
      <c r="C572" t="s">
        <v>1234</v>
      </c>
      <c r="D572" t="s">
        <v>61</v>
      </c>
      <c r="E572" t="s">
        <v>62</v>
      </c>
      <c r="F572" t="s">
        <v>183</v>
      </c>
      <c r="G572" t="s">
        <v>2</v>
      </c>
      <c r="H572">
        <v>8</v>
      </c>
      <c r="I572">
        <v>14</v>
      </c>
      <c r="J572">
        <v>156</v>
      </c>
      <c r="K572" t="s">
        <v>33</v>
      </c>
      <c r="L572" t="s">
        <v>34</v>
      </c>
      <c r="M572" t="s">
        <v>35</v>
      </c>
      <c r="N572">
        <v>4.4000000000000004</v>
      </c>
      <c r="O572">
        <v>4.9000000000000004</v>
      </c>
    </row>
    <row r="573" spans="1:15" x14ac:dyDescent="0.3">
      <c r="A573" t="s">
        <v>1235</v>
      </c>
      <c r="B573" t="s">
        <v>309</v>
      </c>
      <c r="C573" t="s">
        <v>1236</v>
      </c>
      <c r="D573" t="s">
        <v>39</v>
      </c>
      <c r="E573" t="s">
        <v>155</v>
      </c>
      <c r="F573" t="s">
        <v>40</v>
      </c>
      <c r="G573" t="s">
        <v>2</v>
      </c>
      <c r="H573">
        <v>1.4</v>
      </c>
      <c r="I573">
        <v>5</v>
      </c>
      <c r="J573">
        <v>48</v>
      </c>
      <c r="K573" t="s">
        <v>102</v>
      </c>
      <c r="L573" t="s">
        <v>43</v>
      </c>
      <c r="M573" t="s">
        <v>44</v>
      </c>
      <c r="N573">
        <v>5</v>
      </c>
      <c r="O573">
        <v>4.8</v>
      </c>
    </row>
    <row r="574" spans="1:15" x14ac:dyDescent="0.3">
      <c r="A574" t="s">
        <v>1237</v>
      </c>
      <c r="B574" t="s">
        <v>177</v>
      </c>
      <c r="C574" t="s">
        <v>1238</v>
      </c>
      <c r="D574" t="s">
        <v>39</v>
      </c>
      <c r="E574" t="s">
        <v>48</v>
      </c>
      <c r="F574" t="s">
        <v>278</v>
      </c>
      <c r="G574" t="s">
        <v>6</v>
      </c>
      <c r="H574">
        <v>11.1</v>
      </c>
      <c r="I574">
        <v>30</v>
      </c>
      <c r="J574">
        <v>275</v>
      </c>
      <c r="K574" t="s">
        <v>33</v>
      </c>
      <c r="L574" t="s">
        <v>78</v>
      </c>
      <c r="M574" t="s">
        <v>44</v>
      </c>
      <c r="N574">
        <v>4.5999999999999996</v>
      </c>
      <c r="O574">
        <v>4.7</v>
      </c>
    </row>
    <row r="575" spans="1:15" x14ac:dyDescent="0.3">
      <c r="A575" t="s">
        <v>1239</v>
      </c>
      <c r="B575" t="s">
        <v>468</v>
      </c>
      <c r="C575" t="s">
        <v>1240</v>
      </c>
      <c r="D575" t="s">
        <v>106</v>
      </c>
      <c r="E575" t="s">
        <v>108</v>
      </c>
      <c r="F575" t="s">
        <v>107</v>
      </c>
      <c r="G575" t="s">
        <v>2</v>
      </c>
      <c r="H575">
        <v>4.5999999999999996</v>
      </c>
      <c r="I575">
        <v>6</v>
      </c>
      <c r="J575">
        <v>79</v>
      </c>
      <c r="K575" t="s">
        <v>33</v>
      </c>
      <c r="L575" t="s">
        <v>57</v>
      </c>
      <c r="M575" t="s">
        <v>35</v>
      </c>
      <c r="N575">
        <v>4.7</v>
      </c>
      <c r="O575">
        <v>5</v>
      </c>
    </row>
    <row r="576" spans="1:15" x14ac:dyDescent="0.3">
      <c r="A576" t="s">
        <v>1241</v>
      </c>
      <c r="B576" t="s">
        <v>110</v>
      </c>
      <c r="C576" t="s">
        <v>1242</v>
      </c>
      <c r="D576" t="s">
        <v>30</v>
      </c>
      <c r="E576" t="s">
        <v>142</v>
      </c>
      <c r="F576" t="s">
        <v>112</v>
      </c>
      <c r="G576" t="s">
        <v>2</v>
      </c>
      <c r="H576">
        <v>6.4</v>
      </c>
      <c r="I576">
        <v>23</v>
      </c>
      <c r="J576">
        <v>140</v>
      </c>
      <c r="K576" t="s">
        <v>42</v>
      </c>
      <c r="L576" t="s">
        <v>78</v>
      </c>
      <c r="M576" t="s">
        <v>44</v>
      </c>
      <c r="N576">
        <v>4.5999999999999996</v>
      </c>
      <c r="O576">
        <v>4.8</v>
      </c>
    </row>
    <row r="577" spans="1:15" x14ac:dyDescent="0.3">
      <c r="A577" t="s">
        <v>1243</v>
      </c>
      <c r="B577" t="s">
        <v>441</v>
      </c>
      <c r="C577" t="s">
        <v>1244</v>
      </c>
      <c r="D577" t="s">
        <v>81</v>
      </c>
      <c r="E577" t="s">
        <v>82</v>
      </c>
      <c r="F577" t="s">
        <v>83</v>
      </c>
      <c r="G577" t="s">
        <v>6</v>
      </c>
      <c r="H577">
        <v>4.7</v>
      </c>
      <c r="I577">
        <v>11</v>
      </c>
      <c r="J577">
        <v>181</v>
      </c>
      <c r="K577" t="s">
        <v>102</v>
      </c>
      <c r="L577" t="s">
        <v>43</v>
      </c>
      <c r="M577" t="s">
        <v>44</v>
      </c>
      <c r="N577">
        <v>4.9000000000000004</v>
      </c>
      <c r="O577">
        <v>4.8</v>
      </c>
    </row>
    <row r="578" spans="1:15" x14ac:dyDescent="0.3">
      <c r="A578" t="s">
        <v>1245</v>
      </c>
      <c r="B578" t="s">
        <v>166</v>
      </c>
      <c r="C578" t="s">
        <v>1246</v>
      </c>
      <c r="D578" t="s">
        <v>81</v>
      </c>
      <c r="E578" t="s">
        <v>201</v>
      </c>
      <c r="F578" t="s">
        <v>90</v>
      </c>
      <c r="G578" t="s">
        <v>4</v>
      </c>
      <c r="H578">
        <v>25.1</v>
      </c>
      <c r="I578">
        <v>74</v>
      </c>
      <c r="J578">
        <v>700</v>
      </c>
      <c r="K578" t="s">
        <v>33</v>
      </c>
      <c r="L578" t="s">
        <v>78</v>
      </c>
      <c r="M578" t="s">
        <v>44</v>
      </c>
      <c r="N578">
        <v>5</v>
      </c>
      <c r="O578">
        <v>5</v>
      </c>
    </row>
    <row r="579" spans="1:15" x14ac:dyDescent="0.3">
      <c r="A579" t="s">
        <v>1247</v>
      </c>
      <c r="B579" t="s">
        <v>118</v>
      </c>
      <c r="C579" t="s">
        <v>1248</v>
      </c>
      <c r="D579" t="s">
        <v>75</v>
      </c>
      <c r="E579" t="s">
        <v>239</v>
      </c>
      <c r="F579" t="s">
        <v>230</v>
      </c>
      <c r="G579" t="s">
        <v>7</v>
      </c>
      <c r="H579">
        <v>4.4000000000000004</v>
      </c>
      <c r="I579">
        <v>20</v>
      </c>
      <c r="J579">
        <v>190</v>
      </c>
      <c r="K579" t="s">
        <v>33</v>
      </c>
      <c r="L579" t="s">
        <v>43</v>
      </c>
      <c r="M579" t="s">
        <v>44</v>
      </c>
      <c r="N579">
        <v>4.9000000000000004</v>
      </c>
      <c r="O579">
        <v>5</v>
      </c>
    </row>
    <row r="580" spans="1:15" x14ac:dyDescent="0.3">
      <c r="A580" t="s">
        <v>1249</v>
      </c>
      <c r="B580" t="s">
        <v>349</v>
      </c>
      <c r="C580" t="s">
        <v>1250</v>
      </c>
      <c r="D580" t="s">
        <v>61</v>
      </c>
      <c r="E580" t="s">
        <v>63</v>
      </c>
      <c r="F580" t="s">
        <v>183</v>
      </c>
      <c r="G580" t="s">
        <v>6</v>
      </c>
      <c r="H580">
        <v>7.7</v>
      </c>
      <c r="I580">
        <v>29</v>
      </c>
      <c r="J580">
        <v>166</v>
      </c>
      <c r="K580" t="s">
        <v>102</v>
      </c>
      <c r="L580" t="s">
        <v>57</v>
      </c>
      <c r="M580" t="s">
        <v>35</v>
      </c>
      <c r="N580">
        <v>4.3</v>
      </c>
      <c r="O580">
        <v>4.9000000000000004</v>
      </c>
    </row>
    <row r="581" spans="1:15" x14ac:dyDescent="0.3">
      <c r="A581" t="s">
        <v>1251</v>
      </c>
      <c r="B581" t="s">
        <v>98</v>
      </c>
      <c r="C581" t="s">
        <v>1252</v>
      </c>
      <c r="D581" t="s">
        <v>68</v>
      </c>
      <c r="E581" t="s">
        <v>120</v>
      </c>
      <c r="F581" t="s">
        <v>70</v>
      </c>
      <c r="G581" t="s">
        <v>4</v>
      </c>
      <c r="H581">
        <v>6.3</v>
      </c>
      <c r="I581">
        <v>17</v>
      </c>
      <c r="J581">
        <v>229</v>
      </c>
      <c r="K581" t="s">
        <v>33</v>
      </c>
      <c r="L581" t="s">
        <v>161</v>
      </c>
      <c r="M581" t="s">
        <v>35</v>
      </c>
      <c r="N581">
        <v>5</v>
      </c>
      <c r="O581">
        <v>5</v>
      </c>
    </row>
    <row r="582" spans="1:15" x14ac:dyDescent="0.3">
      <c r="A582" t="s">
        <v>1253</v>
      </c>
      <c r="B582" t="s">
        <v>340</v>
      </c>
      <c r="C582" t="s">
        <v>1254</v>
      </c>
      <c r="D582" t="s">
        <v>61</v>
      </c>
      <c r="E582" t="s">
        <v>116</v>
      </c>
      <c r="F582" t="s">
        <v>191</v>
      </c>
      <c r="G582" t="s">
        <v>2</v>
      </c>
      <c r="H582">
        <v>6.9</v>
      </c>
      <c r="I582">
        <v>17</v>
      </c>
      <c r="J582">
        <v>125</v>
      </c>
      <c r="K582" t="s">
        <v>102</v>
      </c>
      <c r="L582" t="s">
        <v>71</v>
      </c>
      <c r="M582" t="s">
        <v>44</v>
      </c>
      <c r="N582">
        <v>4.8</v>
      </c>
      <c r="O582">
        <v>4.5999999999999996</v>
      </c>
    </row>
    <row r="583" spans="1:15" x14ac:dyDescent="0.3">
      <c r="A583" t="s">
        <v>1255</v>
      </c>
      <c r="B583" t="s">
        <v>136</v>
      </c>
      <c r="C583" t="s">
        <v>899</v>
      </c>
      <c r="D583" t="s">
        <v>81</v>
      </c>
      <c r="E583" t="s">
        <v>83</v>
      </c>
      <c r="F583" t="s">
        <v>268</v>
      </c>
      <c r="G583" t="s">
        <v>4</v>
      </c>
      <c r="H583">
        <v>13</v>
      </c>
      <c r="I583">
        <v>33</v>
      </c>
      <c r="J583">
        <v>409</v>
      </c>
      <c r="K583" t="s">
        <v>42</v>
      </c>
      <c r="L583" t="s">
        <v>64</v>
      </c>
      <c r="M583" t="s">
        <v>44</v>
      </c>
      <c r="N583">
        <v>4.3</v>
      </c>
      <c r="O583">
        <v>4.7</v>
      </c>
    </row>
    <row r="584" spans="1:15" x14ac:dyDescent="0.3">
      <c r="A584" t="s">
        <v>1256</v>
      </c>
      <c r="B584" t="s">
        <v>243</v>
      </c>
      <c r="C584" t="s">
        <v>1257</v>
      </c>
      <c r="D584" t="s">
        <v>39</v>
      </c>
      <c r="E584" t="s">
        <v>484</v>
      </c>
      <c r="F584" t="s">
        <v>48</v>
      </c>
      <c r="G584" t="s">
        <v>5</v>
      </c>
      <c r="H584">
        <v>9</v>
      </c>
      <c r="I584">
        <v>23</v>
      </c>
      <c r="J584">
        <v>332</v>
      </c>
      <c r="K584" t="s">
        <v>33</v>
      </c>
      <c r="L584" t="s">
        <v>71</v>
      </c>
      <c r="M584" t="s">
        <v>44</v>
      </c>
      <c r="N584">
        <v>5</v>
      </c>
      <c r="O584">
        <v>4.5999999999999996</v>
      </c>
    </row>
    <row r="585" spans="1:15" x14ac:dyDescent="0.3">
      <c r="A585" t="s">
        <v>1258</v>
      </c>
      <c r="B585" t="s">
        <v>476</v>
      </c>
      <c r="C585" t="s">
        <v>1259</v>
      </c>
      <c r="D585" t="s">
        <v>158</v>
      </c>
      <c r="E585" t="s">
        <v>334</v>
      </c>
      <c r="F585" t="s">
        <v>160</v>
      </c>
      <c r="G585" t="s">
        <v>4</v>
      </c>
      <c r="H585">
        <v>1.8</v>
      </c>
      <c r="I585">
        <v>12</v>
      </c>
      <c r="J585">
        <v>134</v>
      </c>
      <c r="K585" t="s">
        <v>33</v>
      </c>
      <c r="L585" t="s">
        <v>49</v>
      </c>
      <c r="M585" t="s">
        <v>44</v>
      </c>
      <c r="N585">
        <v>4</v>
      </c>
      <c r="O585">
        <v>5</v>
      </c>
    </row>
    <row r="586" spans="1:15" x14ac:dyDescent="0.3">
      <c r="A586" t="s">
        <v>1260</v>
      </c>
      <c r="B586" t="s">
        <v>629</v>
      </c>
      <c r="C586" t="s">
        <v>1261</v>
      </c>
      <c r="D586" t="s">
        <v>75</v>
      </c>
      <c r="E586" t="s">
        <v>146</v>
      </c>
      <c r="F586" t="s">
        <v>239</v>
      </c>
      <c r="G586" t="s">
        <v>5</v>
      </c>
      <c r="H586">
        <v>5.9</v>
      </c>
      <c r="I586">
        <v>11</v>
      </c>
      <c r="J586">
        <v>170</v>
      </c>
      <c r="K586" t="s">
        <v>33</v>
      </c>
      <c r="L586" t="s">
        <v>161</v>
      </c>
      <c r="M586" t="s">
        <v>35</v>
      </c>
      <c r="N586">
        <v>5</v>
      </c>
      <c r="O586">
        <v>5</v>
      </c>
    </row>
    <row r="587" spans="1:15" x14ac:dyDescent="0.3">
      <c r="A587" t="s">
        <v>1262</v>
      </c>
      <c r="B587" t="s">
        <v>463</v>
      </c>
      <c r="C587" t="s">
        <v>1263</v>
      </c>
      <c r="D587" t="s">
        <v>68</v>
      </c>
      <c r="E587" t="s">
        <v>120</v>
      </c>
      <c r="F587" t="s">
        <v>172</v>
      </c>
      <c r="G587" t="s">
        <v>6</v>
      </c>
      <c r="H587">
        <v>3.7</v>
      </c>
      <c r="I587">
        <v>8</v>
      </c>
      <c r="J587">
        <v>153</v>
      </c>
      <c r="K587" t="s">
        <v>33</v>
      </c>
      <c r="L587" t="s">
        <v>64</v>
      </c>
      <c r="M587" t="s">
        <v>44</v>
      </c>
      <c r="N587">
        <v>4.5</v>
      </c>
      <c r="O587">
        <v>4.8</v>
      </c>
    </row>
    <row r="588" spans="1:15" x14ac:dyDescent="0.3">
      <c r="A588" t="s">
        <v>1264</v>
      </c>
      <c r="B588" t="s">
        <v>340</v>
      </c>
      <c r="C588" t="s">
        <v>1265</v>
      </c>
      <c r="D588" t="s">
        <v>68</v>
      </c>
      <c r="E588" t="s">
        <v>210</v>
      </c>
      <c r="F588" t="s">
        <v>150</v>
      </c>
      <c r="G588" t="s">
        <v>7</v>
      </c>
      <c r="H588">
        <v>1.5</v>
      </c>
      <c r="I588">
        <v>12</v>
      </c>
      <c r="J588">
        <v>135</v>
      </c>
      <c r="K588" t="s">
        <v>33</v>
      </c>
      <c r="L588" t="s">
        <v>71</v>
      </c>
      <c r="M588" t="s">
        <v>44</v>
      </c>
      <c r="N588">
        <v>4.9000000000000004</v>
      </c>
      <c r="O588">
        <v>4.4000000000000004</v>
      </c>
    </row>
    <row r="589" spans="1:15" x14ac:dyDescent="0.3">
      <c r="A589" t="s">
        <v>1266</v>
      </c>
      <c r="B589" t="s">
        <v>163</v>
      </c>
      <c r="C589" t="s">
        <v>1084</v>
      </c>
      <c r="D589" t="s">
        <v>39</v>
      </c>
      <c r="E589" t="s">
        <v>155</v>
      </c>
      <c r="F589" t="s">
        <v>40</v>
      </c>
      <c r="G589" t="s">
        <v>2</v>
      </c>
      <c r="H589">
        <v>16.399999999999999</v>
      </c>
      <c r="I589">
        <v>46</v>
      </c>
      <c r="J589">
        <v>232</v>
      </c>
      <c r="K589" t="s">
        <v>42</v>
      </c>
      <c r="L589" t="s">
        <v>49</v>
      </c>
      <c r="M589" t="s">
        <v>44</v>
      </c>
      <c r="N589">
        <v>5</v>
      </c>
      <c r="O589">
        <v>4.8</v>
      </c>
    </row>
    <row r="590" spans="1:15" x14ac:dyDescent="0.3">
      <c r="A590" t="s">
        <v>1267</v>
      </c>
      <c r="B590" t="s">
        <v>647</v>
      </c>
      <c r="C590" t="s">
        <v>1268</v>
      </c>
      <c r="D590" t="s">
        <v>106</v>
      </c>
      <c r="E590" t="s">
        <v>290</v>
      </c>
      <c r="F590" t="s">
        <v>168</v>
      </c>
      <c r="G590" t="s">
        <v>6</v>
      </c>
      <c r="H590">
        <v>3.6</v>
      </c>
      <c r="I590">
        <v>16</v>
      </c>
      <c r="J590">
        <v>148</v>
      </c>
      <c r="K590" t="s">
        <v>33</v>
      </c>
      <c r="L590" t="s">
        <v>71</v>
      </c>
      <c r="M590" t="s">
        <v>44</v>
      </c>
      <c r="N590">
        <v>4.7</v>
      </c>
      <c r="O590">
        <v>4.4000000000000004</v>
      </c>
    </row>
    <row r="591" spans="1:15" x14ac:dyDescent="0.3">
      <c r="A591" t="s">
        <v>1269</v>
      </c>
      <c r="B591" t="s">
        <v>397</v>
      </c>
      <c r="C591" t="s">
        <v>1270</v>
      </c>
      <c r="D591" t="s">
        <v>53</v>
      </c>
      <c r="E591" t="s">
        <v>221</v>
      </c>
      <c r="F591" t="s">
        <v>86</v>
      </c>
      <c r="G591" t="s">
        <v>2</v>
      </c>
      <c r="H591">
        <v>8.4</v>
      </c>
      <c r="I591">
        <v>32</v>
      </c>
      <c r="J591">
        <v>190</v>
      </c>
      <c r="K591" t="s">
        <v>33</v>
      </c>
      <c r="L591" t="s">
        <v>43</v>
      </c>
      <c r="M591" t="s">
        <v>44</v>
      </c>
      <c r="N591">
        <v>5</v>
      </c>
      <c r="O591">
        <v>4.5999999999999996</v>
      </c>
    </row>
    <row r="592" spans="1:15" x14ac:dyDescent="0.3">
      <c r="A592" t="s">
        <v>1271</v>
      </c>
      <c r="B592" t="s">
        <v>140</v>
      </c>
      <c r="C592" t="s">
        <v>1272</v>
      </c>
      <c r="D592" t="s">
        <v>61</v>
      </c>
      <c r="E592" t="s">
        <v>63</v>
      </c>
      <c r="F592" t="s">
        <v>95</v>
      </c>
      <c r="G592" t="s">
        <v>6</v>
      </c>
      <c r="H592">
        <v>4.4000000000000004</v>
      </c>
      <c r="I592">
        <v>15</v>
      </c>
      <c r="J592">
        <v>125</v>
      </c>
      <c r="K592" t="s">
        <v>102</v>
      </c>
      <c r="L592" t="s">
        <v>49</v>
      </c>
      <c r="M592" t="s">
        <v>44</v>
      </c>
      <c r="N592">
        <v>4.4000000000000004</v>
      </c>
      <c r="O592">
        <v>4.7</v>
      </c>
    </row>
    <row r="593" spans="1:15" x14ac:dyDescent="0.3">
      <c r="A593" t="s">
        <v>1273</v>
      </c>
      <c r="B593" t="s">
        <v>476</v>
      </c>
      <c r="C593" t="s">
        <v>1274</v>
      </c>
      <c r="D593" t="s">
        <v>75</v>
      </c>
      <c r="E593" t="s">
        <v>76</v>
      </c>
      <c r="F593" t="s">
        <v>578</v>
      </c>
      <c r="G593" t="s">
        <v>6</v>
      </c>
      <c r="H593">
        <v>15.5</v>
      </c>
      <c r="I593">
        <v>30</v>
      </c>
      <c r="J593">
        <v>292</v>
      </c>
      <c r="K593" t="s">
        <v>102</v>
      </c>
      <c r="L593" t="s">
        <v>78</v>
      </c>
      <c r="M593" t="s">
        <v>44</v>
      </c>
      <c r="N593">
        <v>4.5999999999999996</v>
      </c>
      <c r="O593">
        <v>5</v>
      </c>
    </row>
    <row r="594" spans="1:15" x14ac:dyDescent="0.3">
      <c r="A594" t="s">
        <v>1275</v>
      </c>
      <c r="B594" t="s">
        <v>447</v>
      </c>
      <c r="C594" t="s">
        <v>1276</v>
      </c>
      <c r="D594" t="s">
        <v>75</v>
      </c>
      <c r="E594" t="s">
        <v>230</v>
      </c>
      <c r="F594" t="s">
        <v>313</v>
      </c>
      <c r="G594" t="s">
        <v>6</v>
      </c>
      <c r="H594">
        <v>11.1</v>
      </c>
      <c r="I594">
        <v>31</v>
      </c>
      <c r="J594">
        <v>243</v>
      </c>
      <c r="K594" t="s">
        <v>42</v>
      </c>
      <c r="L594" t="s">
        <v>49</v>
      </c>
      <c r="M594" t="s">
        <v>44</v>
      </c>
      <c r="N594">
        <v>4.9000000000000004</v>
      </c>
      <c r="O594">
        <v>4.7</v>
      </c>
    </row>
    <row r="595" spans="1:15" x14ac:dyDescent="0.3">
      <c r="A595" t="s">
        <v>1277</v>
      </c>
      <c r="B595" t="s">
        <v>403</v>
      </c>
      <c r="C595" t="s">
        <v>1278</v>
      </c>
      <c r="D595" t="s">
        <v>158</v>
      </c>
      <c r="E595" t="s">
        <v>284</v>
      </c>
      <c r="F595" t="s">
        <v>319</v>
      </c>
      <c r="G595" t="s">
        <v>6</v>
      </c>
      <c r="H595">
        <v>9.1999999999999993</v>
      </c>
      <c r="I595">
        <v>39</v>
      </c>
      <c r="J595">
        <v>201</v>
      </c>
      <c r="K595" t="s">
        <v>102</v>
      </c>
      <c r="L595" t="s">
        <v>78</v>
      </c>
      <c r="M595" t="s">
        <v>44</v>
      </c>
      <c r="N595">
        <v>4.0999999999999996</v>
      </c>
      <c r="O595">
        <v>4.7</v>
      </c>
    </row>
    <row r="596" spans="1:15" x14ac:dyDescent="0.3">
      <c r="A596" t="s">
        <v>1279</v>
      </c>
      <c r="B596" t="s">
        <v>163</v>
      </c>
      <c r="C596" t="s">
        <v>1280</v>
      </c>
      <c r="D596" t="s">
        <v>68</v>
      </c>
      <c r="E596" t="s">
        <v>130</v>
      </c>
      <c r="F596" t="s">
        <v>195</v>
      </c>
      <c r="G596" t="s">
        <v>6</v>
      </c>
      <c r="H596">
        <v>8.3000000000000007</v>
      </c>
      <c r="I596">
        <v>13</v>
      </c>
      <c r="J596">
        <v>210</v>
      </c>
      <c r="K596" t="s">
        <v>102</v>
      </c>
      <c r="L596" t="s">
        <v>64</v>
      </c>
      <c r="M596" t="s">
        <v>44</v>
      </c>
      <c r="N596">
        <v>4.7</v>
      </c>
      <c r="O596">
        <v>4.8</v>
      </c>
    </row>
    <row r="597" spans="1:15" x14ac:dyDescent="0.3">
      <c r="A597" t="s">
        <v>1281</v>
      </c>
      <c r="B597" t="s">
        <v>264</v>
      </c>
      <c r="C597" t="s">
        <v>1282</v>
      </c>
      <c r="D597" t="s">
        <v>75</v>
      </c>
      <c r="E597" t="s">
        <v>239</v>
      </c>
      <c r="F597" t="s">
        <v>76</v>
      </c>
      <c r="G597" t="s">
        <v>2</v>
      </c>
      <c r="H597">
        <v>8.1</v>
      </c>
      <c r="I597">
        <v>24</v>
      </c>
      <c r="J597">
        <v>125</v>
      </c>
      <c r="K597" t="s">
        <v>56</v>
      </c>
      <c r="L597" t="s">
        <v>64</v>
      </c>
      <c r="M597" t="s">
        <v>44</v>
      </c>
      <c r="N597">
        <v>4.7</v>
      </c>
      <c r="O597">
        <v>4.7</v>
      </c>
    </row>
    <row r="598" spans="1:15" x14ac:dyDescent="0.3">
      <c r="A598" t="s">
        <v>1283</v>
      </c>
      <c r="B598" t="s">
        <v>727</v>
      </c>
      <c r="C598" t="s">
        <v>1284</v>
      </c>
      <c r="D598" t="s">
        <v>68</v>
      </c>
      <c r="E598" t="s">
        <v>210</v>
      </c>
      <c r="F598" t="s">
        <v>172</v>
      </c>
      <c r="G598" t="s">
        <v>2</v>
      </c>
      <c r="H598">
        <v>4.3</v>
      </c>
      <c r="I598">
        <v>14</v>
      </c>
      <c r="J598">
        <v>104</v>
      </c>
      <c r="K598" t="s">
        <v>102</v>
      </c>
      <c r="L598" t="s">
        <v>78</v>
      </c>
      <c r="M598" t="s">
        <v>44</v>
      </c>
      <c r="N598">
        <v>5</v>
      </c>
      <c r="O598">
        <v>4.7</v>
      </c>
    </row>
    <row r="599" spans="1:15" x14ac:dyDescent="0.3">
      <c r="A599" t="s">
        <v>1285</v>
      </c>
      <c r="B599" t="s">
        <v>586</v>
      </c>
      <c r="C599" t="s">
        <v>1286</v>
      </c>
      <c r="D599" t="s">
        <v>39</v>
      </c>
      <c r="E599" t="s">
        <v>41</v>
      </c>
      <c r="F599" t="s">
        <v>356</v>
      </c>
      <c r="G599" t="s">
        <v>4</v>
      </c>
      <c r="H599">
        <v>4</v>
      </c>
      <c r="I599">
        <v>16</v>
      </c>
      <c r="J599">
        <v>189</v>
      </c>
      <c r="K599" t="s">
        <v>33</v>
      </c>
      <c r="L599" t="s">
        <v>49</v>
      </c>
      <c r="M599" t="s">
        <v>44</v>
      </c>
      <c r="N599">
        <v>4.5</v>
      </c>
      <c r="O599">
        <v>4.5999999999999996</v>
      </c>
    </row>
    <row r="600" spans="1:15" x14ac:dyDescent="0.3">
      <c r="A600" t="s">
        <v>1287</v>
      </c>
      <c r="B600" t="s">
        <v>174</v>
      </c>
      <c r="C600" t="s">
        <v>1288</v>
      </c>
      <c r="D600" t="s">
        <v>61</v>
      </c>
      <c r="E600" t="s">
        <v>96</v>
      </c>
      <c r="F600" t="s">
        <v>95</v>
      </c>
      <c r="G600" t="s">
        <v>2</v>
      </c>
      <c r="H600">
        <v>7.7</v>
      </c>
      <c r="I600">
        <v>17</v>
      </c>
      <c r="J600">
        <v>143</v>
      </c>
      <c r="K600" t="s">
        <v>42</v>
      </c>
      <c r="L600" t="s">
        <v>43</v>
      </c>
      <c r="M600" t="s">
        <v>44</v>
      </c>
      <c r="N600">
        <v>4.9000000000000004</v>
      </c>
      <c r="O600">
        <v>4.5999999999999996</v>
      </c>
    </row>
    <row r="601" spans="1:15" x14ac:dyDescent="0.3">
      <c r="A601" t="s">
        <v>1289</v>
      </c>
      <c r="B601" t="s">
        <v>458</v>
      </c>
      <c r="C601" t="s">
        <v>1022</v>
      </c>
      <c r="D601" t="s">
        <v>61</v>
      </c>
      <c r="E601" t="s">
        <v>62</v>
      </c>
      <c r="F601" t="s">
        <v>95</v>
      </c>
      <c r="G601" t="s">
        <v>6</v>
      </c>
      <c r="H601">
        <v>11.5</v>
      </c>
      <c r="I601">
        <v>35</v>
      </c>
      <c r="J601">
        <v>319</v>
      </c>
      <c r="K601" t="s">
        <v>56</v>
      </c>
      <c r="L601" t="s">
        <v>71</v>
      </c>
      <c r="M601" t="s">
        <v>44</v>
      </c>
      <c r="N601">
        <v>4.5</v>
      </c>
      <c r="O601">
        <v>5</v>
      </c>
    </row>
    <row r="602" spans="1:15" x14ac:dyDescent="0.3">
      <c r="A602" t="s">
        <v>1290</v>
      </c>
      <c r="B602" t="s">
        <v>200</v>
      </c>
      <c r="C602" t="s">
        <v>1291</v>
      </c>
      <c r="D602" t="s">
        <v>53</v>
      </c>
      <c r="E602" t="s">
        <v>236</v>
      </c>
      <c r="F602" t="s">
        <v>220</v>
      </c>
      <c r="G602" t="s">
        <v>4</v>
      </c>
      <c r="H602">
        <v>1.8</v>
      </c>
      <c r="I602">
        <v>5</v>
      </c>
      <c r="J602">
        <v>166</v>
      </c>
      <c r="K602" t="s">
        <v>33</v>
      </c>
      <c r="L602" t="s">
        <v>71</v>
      </c>
      <c r="M602" t="s">
        <v>44</v>
      </c>
      <c r="N602">
        <v>4.7</v>
      </c>
      <c r="O602">
        <v>5</v>
      </c>
    </row>
    <row r="603" spans="1:15" x14ac:dyDescent="0.3">
      <c r="A603" t="s">
        <v>1292</v>
      </c>
      <c r="B603" t="s">
        <v>170</v>
      </c>
      <c r="C603" t="s">
        <v>1293</v>
      </c>
      <c r="D603" t="s">
        <v>61</v>
      </c>
      <c r="E603" t="s">
        <v>95</v>
      </c>
      <c r="F603" t="s">
        <v>116</v>
      </c>
      <c r="G603" t="s">
        <v>2</v>
      </c>
      <c r="H603">
        <v>1.1000000000000001</v>
      </c>
      <c r="I603">
        <v>5</v>
      </c>
      <c r="J603">
        <v>74</v>
      </c>
      <c r="K603" t="s">
        <v>33</v>
      </c>
      <c r="L603" t="s">
        <v>71</v>
      </c>
      <c r="M603" t="s">
        <v>44</v>
      </c>
      <c r="N603">
        <v>4.5999999999999996</v>
      </c>
      <c r="O603">
        <v>5</v>
      </c>
    </row>
    <row r="604" spans="1:15" x14ac:dyDescent="0.3">
      <c r="A604" t="s">
        <v>1294</v>
      </c>
      <c r="B604" t="s">
        <v>225</v>
      </c>
      <c r="C604" t="s">
        <v>1295</v>
      </c>
      <c r="D604" t="s">
        <v>158</v>
      </c>
      <c r="E604" t="s">
        <v>334</v>
      </c>
      <c r="F604" t="s">
        <v>284</v>
      </c>
      <c r="G604" t="s">
        <v>3</v>
      </c>
      <c r="H604">
        <v>12.4</v>
      </c>
      <c r="I604">
        <v>37</v>
      </c>
      <c r="J604">
        <v>522</v>
      </c>
      <c r="K604" t="s">
        <v>192</v>
      </c>
      <c r="L604" t="s">
        <v>57</v>
      </c>
      <c r="M604" t="s">
        <v>35</v>
      </c>
      <c r="N604">
        <v>4.4000000000000004</v>
      </c>
      <c r="O604">
        <v>4.5</v>
      </c>
    </row>
    <row r="605" spans="1:15" x14ac:dyDescent="0.3">
      <c r="A605" t="s">
        <v>1296</v>
      </c>
      <c r="B605" t="s">
        <v>98</v>
      </c>
      <c r="C605" t="s">
        <v>1297</v>
      </c>
      <c r="D605" t="s">
        <v>39</v>
      </c>
      <c r="E605" t="s">
        <v>278</v>
      </c>
      <c r="F605" t="s">
        <v>155</v>
      </c>
      <c r="G605" t="s">
        <v>2</v>
      </c>
      <c r="H605">
        <v>7</v>
      </c>
      <c r="I605">
        <v>32</v>
      </c>
      <c r="J605">
        <v>103</v>
      </c>
      <c r="K605" t="s">
        <v>102</v>
      </c>
      <c r="L605" t="s">
        <v>34</v>
      </c>
      <c r="M605" t="s">
        <v>35</v>
      </c>
      <c r="N605">
        <v>5</v>
      </c>
      <c r="O605">
        <v>4.7</v>
      </c>
    </row>
    <row r="606" spans="1:15" x14ac:dyDescent="0.3">
      <c r="A606" t="s">
        <v>1298</v>
      </c>
      <c r="B606" t="s">
        <v>397</v>
      </c>
      <c r="C606" t="s">
        <v>1299</v>
      </c>
      <c r="D606" t="s">
        <v>75</v>
      </c>
      <c r="E606" t="s">
        <v>313</v>
      </c>
      <c r="F606" t="s">
        <v>394</v>
      </c>
      <c r="G606" t="s">
        <v>7</v>
      </c>
      <c r="H606">
        <v>1.1000000000000001</v>
      </c>
      <c r="I606">
        <v>10</v>
      </c>
      <c r="J606">
        <v>109</v>
      </c>
      <c r="K606" t="s">
        <v>192</v>
      </c>
      <c r="L606" t="s">
        <v>43</v>
      </c>
      <c r="M606" t="s">
        <v>44</v>
      </c>
      <c r="N606">
        <v>4.7</v>
      </c>
      <c r="O606">
        <v>5</v>
      </c>
    </row>
    <row r="607" spans="1:15" x14ac:dyDescent="0.3">
      <c r="A607" t="s">
        <v>1300</v>
      </c>
      <c r="B607" t="s">
        <v>458</v>
      </c>
      <c r="C607" t="s">
        <v>1301</v>
      </c>
      <c r="D607" t="s">
        <v>158</v>
      </c>
      <c r="E607" t="s">
        <v>159</v>
      </c>
      <c r="F607" t="s">
        <v>334</v>
      </c>
      <c r="G607" t="s">
        <v>5</v>
      </c>
      <c r="H607">
        <v>14.7</v>
      </c>
      <c r="I607">
        <v>40</v>
      </c>
      <c r="J607">
        <v>327</v>
      </c>
      <c r="K607" t="s">
        <v>102</v>
      </c>
      <c r="L607" t="s">
        <v>57</v>
      </c>
      <c r="M607" t="s">
        <v>35</v>
      </c>
      <c r="N607">
        <v>4.5999999999999996</v>
      </c>
      <c r="O607">
        <v>4.5</v>
      </c>
    </row>
    <row r="608" spans="1:15" x14ac:dyDescent="0.3">
      <c r="A608" t="s">
        <v>1302</v>
      </c>
      <c r="B608" t="s">
        <v>66</v>
      </c>
      <c r="C608" t="s">
        <v>1303</v>
      </c>
      <c r="D608" t="s">
        <v>75</v>
      </c>
      <c r="E608" t="s">
        <v>146</v>
      </c>
      <c r="F608" t="s">
        <v>76</v>
      </c>
      <c r="G608" t="s">
        <v>6</v>
      </c>
      <c r="H608">
        <v>2.2000000000000002</v>
      </c>
      <c r="I608">
        <v>9</v>
      </c>
      <c r="J608">
        <v>79</v>
      </c>
      <c r="K608" t="s">
        <v>42</v>
      </c>
      <c r="L608" t="s">
        <v>34</v>
      </c>
      <c r="M608" t="s">
        <v>35</v>
      </c>
      <c r="N608">
        <v>4.7</v>
      </c>
      <c r="O608">
        <v>4.5</v>
      </c>
    </row>
    <row r="609" spans="1:15" x14ac:dyDescent="0.3">
      <c r="A609" t="s">
        <v>1304</v>
      </c>
      <c r="B609" t="s">
        <v>536</v>
      </c>
      <c r="C609" t="s">
        <v>1305</v>
      </c>
      <c r="D609" t="s">
        <v>39</v>
      </c>
      <c r="E609" t="s">
        <v>356</v>
      </c>
      <c r="F609" t="s">
        <v>484</v>
      </c>
      <c r="G609" t="s">
        <v>6</v>
      </c>
      <c r="H609">
        <v>3.8</v>
      </c>
      <c r="I609">
        <v>14</v>
      </c>
      <c r="J609">
        <v>126</v>
      </c>
      <c r="K609" t="s">
        <v>102</v>
      </c>
      <c r="L609" t="s">
        <v>64</v>
      </c>
      <c r="M609" t="s">
        <v>44</v>
      </c>
      <c r="N609">
        <v>4.9000000000000004</v>
      </c>
      <c r="O609">
        <v>4.7</v>
      </c>
    </row>
    <row r="610" spans="1:15" x14ac:dyDescent="0.3">
      <c r="A610" t="s">
        <v>1306</v>
      </c>
      <c r="B610" t="s">
        <v>276</v>
      </c>
      <c r="C610" t="s">
        <v>1307</v>
      </c>
      <c r="D610" t="s">
        <v>68</v>
      </c>
      <c r="E610" t="s">
        <v>70</v>
      </c>
      <c r="F610" t="s">
        <v>172</v>
      </c>
      <c r="G610" t="s">
        <v>4</v>
      </c>
      <c r="H610">
        <v>5.8</v>
      </c>
      <c r="I610">
        <v>12</v>
      </c>
      <c r="J610">
        <v>211</v>
      </c>
      <c r="K610" t="s">
        <v>192</v>
      </c>
      <c r="L610" t="s">
        <v>43</v>
      </c>
      <c r="M610" t="s">
        <v>44</v>
      </c>
      <c r="N610">
        <v>4.5</v>
      </c>
      <c r="O610">
        <v>4.5</v>
      </c>
    </row>
    <row r="611" spans="1:15" x14ac:dyDescent="0.3">
      <c r="A611" t="s">
        <v>1308</v>
      </c>
      <c r="B611" t="s">
        <v>927</v>
      </c>
      <c r="C611" t="s">
        <v>145</v>
      </c>
      <c r="D611" t="s">
        <v>61</v>
      </c>
      <c r="E611" t="s">
        <v>63</v>
      </c>
      <c r="F611" t="s">
        <v>183</v>
      </c>
      <c r="G611" t="s">
        <v>5</v>
      </c>
      <c r="H611">
        <v>16.399999999999999</v>
      </c>
      <c r="I611">
        <v>47</v>
      </c>
      <c r="J611">
        <v>400</v>
      </c>
      <c r="K611" t="s">
        <v>33</v>
      </c>
      <c r="L611" t="s">
        <v>43</v>
      </c>
      <c r="M611" t="s">
        <v>44</v>
      </c>
      <c r="N611">
        <v>4.8</v>
      </c>
      <c r="O611">
        <v>4.5999999999999996</v>
      </c>
    </row>
    <row r="612" spans="1:15" x14ac:dyDescent="0.3">
      <c r="A612" t="s">
        <v>1309</v>
      </c>
      <c r="B612" t="s">
        <v>689</v>
      </c>
      <c r="C612" t="s">
        <v>1310</v>
      </c>
      <c r="D612" t="s">
        <v>53</v>
      </c>
      <c r="E612" t="s">
        <v>221</v>
      </c>
      <c r="F612" t="s">
        <v>236</v>
      </c>
      <c r="G612" t="s">
        <v>5</v>
      </c>
      <c r="H612">
        <v>5.6</v>
      </c>
      <c r="I612">
        <v>12</v>
      </c>
      <c r="J612">
        <v>215</v>
      </c>
      <c r="K612" t="s">
        <v>42</v>
      </c>
      <c r="L612" t="s">
        <v>71</v>
      </c>
      <c r="M612" t="s">
        <v>44</v>
      </c>
      <c r="N612">
        <v>4.5999999999999996</v>
      </c>
      <c r="O612">
        <v>4.5</v>
      </c>
    </row>
    <row r="613" spans="1:15" x14ac:dyDescent="0.3">
      <c r="A613" t="s">
        <v>1311</v>
      </c>
      <c r="B613" t="s">
        <v>98</v>
      </c>
      <c r="C613" t="s">
        <v>1312</v>
      </c>
      <c r="D613" t="s">
        <v>75</v>
      </c>
      <c r="E613" t="s">
        <v>146</v>
      </c>
      <c r="F613" t="s">
        <v>76</v>
      </c>
      <c r="G613" t="s">
        <v>6</v>
      </c>
      <c r="H613">
        <v>5.3</v>
      </c>
      <c r="I613">
        <v>20</v>
      </c>
      <c r="J613">
        <v>117</v>
      </c>
      <c r="K613" t="s">
        <v>56</v>
      </c>
      <c r="L613" t="s">
        <v>49</v>
      </c>
      <c r="M613" t="s">
        <v>44</v>
      </c>
      <c r="N613">
        <v>4.5999999999999996</v>
      </c>
      <c r="O613">
        <v>4.7</v>
      </c>
    </row>
    <row r="614" spans="1:15" x14ac:dyDescent="0.3">
      <c r="A614" t="s">
        <v>1313</v>
      </c>
      <c r="B614" t="s">
        <v>422</v>
      </c>
      <c r="C614" t="s">
        <v>404</v>
      </c>
      <c r="D614" t="s">
        <v>81</v>
      </c>
      <c r="E614" t="s">
        <v>91</v>
      </c>
      <c r="F614" t="s">
        <v>82</v>
      </c>
      <c r="G614" t="s">
        <v>3</v>
      </c>
      <c r="H614">
        <v>1.4</v>
      </c>
      <c r="I614">
        <v>5</v>
      </c>
      <c r="J614">
        <v>168</v>
      </c>
      <c r="K614" t="s">
        <v>33</v>
      </c>
      <c r="L614" t="s">
        <v>43</v>
      </c>
      <c r="M614" t="s">
        <v>44</v>
      </c>
      <c r="N614">
        <v>4.9000000000000004</v>
      </c>
      <c r="O614">
        <v>4.7</v>
      </c>
    </row>
    <row r="615" spans="1:15" x14ac:dyDescent="0.3">
      <c r="A615" t="s">
        <v>1314</v>
      </c>
      <c r="B615" t="s">
        <v>629</v>
      </c>
      <c r="C615" t="s">
        <v>1315</v>
      </c>
      <c r="D615" t="s">
        <v>53</v>
      </c>
      <c r="E615" t="s">
        <v>236</v>
      </c>
      <c r="F615" t="s">
        <v>86</v>
      </c>
      <c r="G615" t="s">
        <v>6</v>
      </c>
      <c r="H615">
        <v>7.1</v>
      </c>
      <c r="I615">
        <v>17</v>
      </c>
      <c r="J615">
        <v>152</v>
      </c>
      <c r="K615" t="s">
        <v>102</v>
      </c>
      <c r="L615" t="s">
        <v>34</v>
      </c>
      <c r="M615" t="s">
        <v>35</v>
      </c>
      <c r="N615">
        <v>4.2</v>
      </c>
      <c r="O615">
        <v>5</v>
      </c>
    </row>
    <row r="616" spans="1:15" x14ac:dyDescent="0.3">
      <c r="A616" t="s">
        <v>1316</v>
      </c>
      <c r="B616" t="s">
        <v>604</v>
      </c>
      <c r="C616" t="s">
        <v>1317</v>
      </c>
      <c r="D616" t="s">
        <v>81</v>
      </c>
      <c r="E616" t="s">
        <v>82</v>
      </c>
      <c r="F616" t="s">
        <v>134</v>
      </c>
      <c r="G616" t="s">
        <v>6</v>
      </c>
      <c r="H616">
        <v>9.9</v>
      </c>
      <c r="I616">
        <v>31</v>
      </c>
      <c r="J616">
        <v>298</v>
      </c>
      <c r="K616" t="s">
        <v>102</v>
      </c>
      <c r="L616" t="s">
        <v>43</v>
      </c>
      <c r="M616" t="s">
        <v>44</v>
      </c>
      <c r="N616">
        <v>4.2</v>
      </c>
      <c r="O616">
        <v>4.5999999999999996</v>
      </c>
    </row>
    <row r="617" spans="1:15" x14ac:dyDescent="0.3">
      <c r="A617" t="s">
        <v>1318</v>
      </c>
      <c r="B617" t="s">
        <v>604</v>
      </c>
      <c r="C617" t="s">
        <v>1146</v>
      </c>
      <c r="D617" t="s">
        <v>81</v>
      </c>
      <c r="E617" t="s">
        <v>82</v>
      </c>
      <c r="F617" t="s">
        <v>268</v>
      </c>
      <c r="G617" t="s">
        <v>6</v>
      </c>
      <c r="H617">
        <v>5.0999999999999996</v>
      </c>
      <c r="I617">
        <v>14</v>
      </c>
      <c r="J617">
        <v>168</v>
      </c>
      <c r="K617" t="s">
        <v>33</v>
      </c>
      <c r="L617" t="s">
        <v>64</v>
      </c>
      <c r="M617" t="s">
        <v>44</v>
      </c>
      <c r="N617">
        <v>4.8</v>
      </c>
      <c r="O617">
        <v>5</v>
      </c>
    </row>
    <row r="618" spans="1:15" x14ac:dyDescent="0.3">
      <c r="A618" t="s">
        <v>1319</v>
      </c>
      <c r="B618" t="s">
        <v>927</v>
      </c>
      <c r="C618" t="s">
        <v>1320</v>
      </c>
      <c r="D618" t="s">
        <v>158</v>
      </c>
      <c r="E618" t="s">
        <v>334</v>
      </c>
      <c r="F618" t="s">
        <v>159</v>
      </c>
      <c r="G618" t="s">
        <v>2</v>
      </c>
      <c r="H618">
        <v>1</v>
      </c>
      <c r="I618">
        <v>5</v>
      </c>
      <c r="J618">
        <v>63</v>
      </c>
      <c r="K618" t="s">
        <v>33</v>
      </c>
      <c r="L618" t="s">
        <v>78</v>
      </c>
      <c r="M618" t="s">
        <v>44</v>
      </c>
      <c r="N618">
        <v>4.5999999999999996</v>
      </c>
      <c r="O618">
        <v>5</v>
      </c>
    </row>
    <row r="619" spans="1:15" x14ac:dyDescent="0.3">
      <c r="A619" t="s">
        <v>1321</v>
      </c>
      <c r="B619" t="s">
        <v>349</v>
      </c>
      <c r="C619" t="s">
        <v>364</v>
      </c>
      <c r="D619" t="s">
        <v>39</v>
      </c>
      <c r="E619" t="s">
        <v>484</v>
      </c>
      <c r="F619" t="s">
        <v>48</v>
      </c>
      <c r="G619" t="s">
        <v>2</v>
      </c>
      <c r="H619">
        <v>6</v>
      </c>
      <c r="I619">
        <v>18</v>
      </c>
      <c r="J619">
        <v>158</v>
      </c>
      <c r="K619" t="s">
        <v>33</v>
      </c>
      <c r="L619" t="s">
        <v>71</v>
      </c>
      <c r="M619" t="s">
        <v>44</v>
      </c>
      <c r="N619">
        <v>4.4000000000000004</v>
      </c>
      <c r="O619">
        <v>5</v>
      </c>
    </row>
    <row r="620" spans="1:15" x14ac:dyDescent="0.3">
      <c r="A620" t="s">
        <v>1322</v>
      </c>
      <c r="B620" t="s">
        <v>552</v>
      </c>
      <c r="C620" t="s">
        <v>1323</v>
      </c>
      <c r="D620" t="s">
        <v>61</v>
      </c>
      <c r="E620" t="s">
        <v>183</v>
      </c>
      <c r="F620" t="s">
        <v>191</v>
      </c>
      <c r="G620" t="s">
        <v>6</v>
      </c>
      <c r="H620">
        <v>6.9</v>
      </c>
      <c r="I620">
        <v>25</v>
      </c>
      <c r="J620">
        <v>144</v>
      </c>
      <c r="K620" t="s">
        <v>33</v>
      </c>
      <c r="L620" t="s">
        <v>78</v>
      </c>
      <c r="M620" t="s">
        <v>44</v>
      </c>
      <c r="N620">
        <v>4.9000000000000004</v>
      </c>
      <c r="O620">
        <v>5</v>
      </c>
    </row>
    <row r="621" spans="1:15" x14ac:dyDescent="0.3">
      <c r="A621" t="s">
        <v>1324</v>
      </c>
      <c r="B621" t="s">
        <v>684</v>
      </c>
      <c r="C621" t="s">
        <v>1325</v>
      </c>
      <c r="D621" t="s">
        <v>61</v>
      </c>
      <c r="E621" t="s">
        <v>63</v>
      </c>
      <c r="F621" t="s">
        <v>191</v>
      </c>
      <c r="G621" t="s">
        <v>6</v>
      </c>
      <c r="H621">
        <v>8</v>
      </c>
      <c r="I621">
        <v>21</v>
      </c>
      <c r="J621">
        <v>196</v>
      </c>
      <c r="K621" t="s">
        <v>42</v>
      </c>
      <c r="L621" t="s">
        <v>64</v>
      </c>
      <c r="M621" t="s">
        <v>44</v>
      </c>
      <c r="N621">
        <v>4.5999999999999996</v>
      </c>
      <c r="O621">
        <v>4.8</v>
      </c>
    </row>
    <row r="622" spans="1:15" x14ac:dyDescent="0.3">
      <c r="A622" t="s">
        <v>1326</v>
      </c>
      <c r="B622" t="s">
        <v>144</v>
      </c>
      <c r="C622" t="s">
        <v>1327</v>
      </c>
      <c r="D622" t="s">
        <v>75</v>
      </c>
      <c r="E622" t="s">
        <v>76</v>
      </c>
      <c r="F622" t="s">
        <v>77</v>
      </c>
      <c r="G622" t="s">
        <v>4</v>
      </c>
      <c r="H622">
        <v>4.3</v>
      </c>
      <c r="I622">
        <v>12</v>
      </c>
      <c r="J622">
        <v>206</v>
      </c>
      <c r="K622" t="s">
        <v>33</v>
      </c>
      <c r="L622" t="s">
        <v>43</v>
      </c>
      <c r="M622" t="s">
        <v>44</v>
      </c>
      <c r="N622">
        <v>4.7</v>
      </c>
      <c r="O622">
        <v>4.8</v>
      </c>
    </row>
    <row r="623" spans="1:15" x14ac:dyDescent="0.3">
      <c r="A623" t="s">
        <v>1328</v>
      </c>
      <c r="B623" t="s">
        <v>273</v>
      </c>
      <c r="C623" t="s">
        <v>1329</v>
      </c>
      <c r="D623" t="s">
        <v>30</v>
      </c>
      <c r="E623" t="s">
        <v>32</v>
      </c>
      <c r="F623" t="s">
        <v>138</v>
      </c>
      <c r="G623" t="s">
        <v>4</v>
      </c>
      <c r="H623">
        <v>4.9000000000000004</v>
      </c>
      <c r="I623">
        <v>19</v>
      </c>
      <c r="J623">
        <v>230</v>
      </c>
      <c r="K623" t="s">
        <v>42</v>
      </c>
      <c r="L623" t="s">
        <v>71</v>
      </c>
      <c r="M623" t="s">
        <v>44</v>
      </c>
      <c r="N623">
        <v>4.5</v>
      </c>
      <c r="O623">
        <v>4.8</v>
      </c>
    </row>
    <row r="624" spans="1:15" x14ac:dyDescent="0.3">
      <c r="A624" t="s">
        <v>1330</v>
      </c>
      <c r="B624" t="s">
        <v>181</v>
      </c>
      <c r="C624" t="s">
        <v>1331</v>
      </c>
      <c r="D624" t="s">
        <v>61</v>
      </c>
      <c r="E624" t="s">
        <v>96</v>
      </c>
      <c r="F624" t="s">
        <v>191</v>
      </c>
      <c r="G624" t="s">
        <v>3</v>
      </c>
      <c r="H624">
        <v>18.100000000000001</v>
      </c>
      <c r="I624">
        <v>36</v>
      </c>
      <c r="J624">
        <v>926</v>
      </c>
      <c r="K624" t="s">
        <v>102</v>
      </c>
      <c r="L624" t="s">
        <v>71</v>
      </c>
      <c r="M624" t="s">
        <v>44</v>
      </c>
      <c r="N624">
        <v>5</v>
      </c>
      <c r="O624">
        <v>4.8</v>
      </c>
    </row>
    <row r="625" spans="1:15" x14ac:dyDescent="0.3">
      <c r="A625" t="s">
        <v>1332</v>
      </c>
      <c r="B625" t="s">
        <v>218</v>
      </c>
      <c r="C625" t="s">
        <v>1333</v>
      </c>
      <c r="D625" t="s">
        <v>75</v>
      </c>
      <c r="E625" t="s">
        <v>77</v>
      </c>
      <c r="F625" t="s">
        <v>230</v>
      </c>
      <c r="G625" t="s">
        <v>6</v>
      </c>
      <c r="H625">
        <v>10.5</v>
      </c>
      <c r="I625">
        <v>38</v>
      </c>
      <c r="J625">
        <v>314</v>
      </c>
      <c r="K625" t="s">
        <v>33</v>
      </c>
      <c r="L625" t="s">
        <v>71</v>
      </c>
      <c r="M625" t="s">
        <v>44</v>
      </c>
      <c r="N625">
        <v>4.4000000000000004</v>
      </c>
      <c r="O625">
        <v>4.8</v>
      </c>
    </row>
    <row r="626" spans="1:15" x14ac:dyDescent="0.3">
      <c r="A626" t="s">
        <v>1334</v>
      </c>
      <c r="B626" t="s">
        <v>373</v>
      </c>
      <c r="C626" t="s">
        <v>804</v>
      </c>
      <c r="D626" t="s">
        <v>30</v>
      </c>
      <c r="E626" t="s">
        <v>112</v>
      </c>
      <c r="F626" t="s">
        <v>31</v>
      </c>
      <c r="G626" t="s">
        <v>2</v>
      </c>
      <c r="H626">
        <v>5.5</v>
      </c>
      <c r="I626">
        <v>19</v>
      </c>
      <c r="J626">
        <v>118</v>
      </c>
      <c r="K626" t="s">
        <v>102</v>
      </c>
      <c r="L626" t="s">
        <v>49</v>
      </c>
      <c r="M626" t="s">
        <v>44</v>
      </c>
      <c r="N626">
        <v>4.7</v>
      </c>
      <c r="O626">
        <v>5</v>
      </c>
    </row>
    <row r="627" spans="1:15" x14ac:dyDescent="0.3">
      <c r="A627" t="s">
        <v>1335</v>
      </c>
      <c r="B627" t="s">
        <v>481</v>
      </c>
      <c r="C627" t="s">
        <v>1336</v>
      </c>
      <c r="D627" t="s">
        <v>61</v>
      </c>
      <c r="E627" t="s">
        <v>62</v>
      </c>
      <c r="F627" t="s">
        <v>63</v>
      </c>
      <c r="G627" t="s">
        <v>6</v>
      </c>
      <c r="H627">
        <v>5.4</v>
      </c>
      <c r="I627">
        <v>6</v>
      </c>
      <c r="J627">
        <v>171</v>
      </c>
      <c r="K627" t="s">
        <v>33</v>
      </c>
      <c r="L627" t="s">
        <v>64</v>
      </c>
      <c r="M627" t="s">
        <v>44</v>
      </c>
      <c r="N627">
        <v>4.8</v>
      </c>
      <c r="O627">
        <v>4.5</v>
      </c>
    </row>
    <row r="628" spans="1:15" x14ac:dyDescent="0.3">
      <c r="A628" t="s">
        <v>1337</v>
      </c>
      <c r="B628" t="s">
        <v>463</v>
      </c>
      <c r="C628" t="s">
        <v>931</v>
      </c>
      <c r="D628" t="s">
        <v>81</v>
      </c>
      <c r="E628" t="s">
        <v>134</v>
      </c>
      <c r="F628" t="s">
        <v>91</v>
      </c>
      <c r="G628" t="s">
        <v>7</v>
      </c>
      <c r="H628">
        <v>4.5999999999999996</v>
      </c>
      <c r="I628">
        <v>14</v>
      </c>
      <c r="J628">
        <v>194</v>
      </c>
      <c r="K628" t="s">
        <v>192</v>
      </c>
      <c r="L628" t="s">
        <v>64</v>
      </c>
      <c r="M628" t="s">
        <v>44</v>
      </c>
      <c r="N628">
        <v>4.7</v>
      </c>
      <c r="O628">
        <v>4.5999999999999996</v>
      </c>
    </row>
    <row r="629" spans="1:15" x14ac:dyDescent="0.3">
      <c r="A629" t="s">
        <v>1338</v>
      </c>
      <c r="B629" t="s">
        <v>410</v>
      </c>
      <c r="C629" t="s">
        <v>315</v>
      </c>
      <c r="D629" t="s">
        <v>158</v>
      </c>
      <c r="E629" t="s">
        <v>284</v>
      </c>
      <c r="F629" t="s">
        <v>319</v>
      </c>
      <c r="G629" t="s">
        <v>4</v>
      </c>
      <c r="H629">
        <v>7.6</v>
      </c>
      <c r="I629">
        <v>24</v>
      </c>
      <c r="J629">
        <v>345</v>
      </c>
      <c r="K629" t="s">
        <v>33</v>
      </c>
      <c r="L629" t="s">
        <v>71</v>
      </c>
      <c r="M629" t="s">
        <v>44</v>
      </c>
      <c r="N629">
        <v>4.0999999999999996</v>
      </c>
      <c r="O629">
        <v>5</v>
      </c>
    </row>
    <row r="630" spans="1:15" x14ac:dyDescent="0.3">
      <c r="A630" t="s">
        <v>1339</v>
      </c>
      <c r="B630" t="s">
        <v>586</v>
      </c>
      <c r="C630" t="s">
        <v>1070</v>
      </c>
      <c r="D630" t="s">
        <v>61</v>
      </c>
      <c r="E630" t="s">
        <v>96</v>
      </c>
      <c r="F630" t="s">
        <v>116</v>
      </c>
      <c r="G630" t="s">
        <v>6</v>
      </c>
      <c r="H630">
        <v>3.1</v>
      </c>
      <c r="I630">
        <v>5</v>
      </c>
      <c r="J630">
        <v>131</v>
      </c>
      <c r="K630" t="s">
        <v>102</v>
      </c>
      <c r="L630" t="s">
        <v>43</v>
      </c>
      <c r="M630" t="s">
        <v>44</v>
      </c>
      <c r="N630">
        <v>5</v>
      </c>
      <c r="O630">
        <v>4.7</v>
      </c>
    </row>
    <row r="631" spans="1:15" x14ac:dyDescent="0.3">
      <c r="A631" t="s">
        <v>1340</v>
      </c>
      <c r="B631" t="s">
        <v>228</v>
      </c>
      <c r="C631" t="s">
        <v>1341</v>
      </c>
      <c r="D631" t="s">
        <v>39</v>
      </c>
      <c r="E631" t="s">
        <v>484</v>
      </c>
      <c r="F631" t="s">
        <v>278</v>
      </c>
      <c r="G631" t="s">
        <v>2</v>
      </c>
      <c r="H631">
        <v>5.8</v>
      </c>
      <c r="I631">
        <v>17</v>
      </c>
      <c r="J631">
        <v>114</v>
      </c>
      <c r="K631" t="s">
        <v>42</v>
      </c>
      <c r="L631" t="s">
        <v>43</v>
      </c>
      <c r="M631" t="s">
        <v>44</v>
      </c>
      <c r="N631">
        <v>4.5</v>
      </c>
      <c r="O631">
        <v>4.8</v>
      </c>
    </row>
    <row r="632" spans="1:15" x14ac:dyDescent="0.3">
      <c r="A632" t="s">
        <v>1342</v>
      </c>
      <c r="B632" t="s">
        <v>340</v>
      </c>
      <c r="C632" t="s">
        <v>940</v>
      </c>
      <c r="D632" t="s">
        <v>68</v>
      </c>
      <c r="E632" t="s">
        <v>172</v>
      </c>
      <c r="F632" t="s">
        <v>130</v>
      </c>
      <c r="G632" t="s">
        <v>6</v>
      </c>
      <c r="H632">
        <v>6.7</v>
      </c>
      <c r="I632">
        <v>17</v>
      </c>
      <c r="J632">
        <v>173</v>
      </c>
      <c r="K632" t="s">
        <v>102</v>
      </c>
      <c r="L632" t="s">
        <v>43</v>
      </c>
      <c r="M632" t="s">
        <v>44</v>
      </c>
      <c r="N632">
        <v>5</v>
      </c>
      <c r="O632">
        <v>4.9000000000000004</v>
      </c>
    </row>
    <row r="633" spans="1:15" x14ac:dyDescent="0.3">
      <c r="A633" t="s">
        <v>1343</v>
      </c>
      <c r="B633" t="s">
        <v>306</v>
      </c>
      <c r="C633" t="s">
        <v>911</v>
      </c>
      <c r="D633" t="s">
        <v>75</v>
      </c>
      <c r="E633" t="s">
        <v>394</v>
      </c>
      <c r="F633" t="s">
        <v>146</v>
      </c>
      <c r="G633" t="s">
        <v>4</v>
      </c>
      <c r="H633">
        <v>3</v>
      </c>
      <c r="I633">
        <v>9</v>
      </c>
      <c r="J633">
        <v>190</v>
      </c>
      <c r="K633" t="s">
        <v>33</v>
      </c>
      <c r="L633" t="s">
        <v>64</v>
      </c>
      <c r="M633" t="s">
        <v>44</v>
      </c>
      <c r="N633">
        <v>4.8</v>
      </c>
      <c r="O633">
        <v>4.5999999999999996</v>
      </c>
    </row>
    <row r="634" spans="1:15" x14ac:dyDescent="0.3">
      <c r="A634" t="s">
        <v>1344</v>
      </c>
      <c r="B634" t="s">
        <v>453</v>
      </c>
      <c r="C634" t="s">
        <v>739</v>
      </c>
      <c r="D634" t="s">
        <v>68</v>
      </c>
      <c r="E634" t="s">
        <v>69</v>
      </c>
      <c r="F634" t="s">
        <v>172</v>
      </c>
      <c r="G634" t="s">
        <v>5</v>
      </c>
      <c r="H634">
        <v>5.3</v>
      </c>
      <c r="I634">
        <v>14</v>
      </c>
      <c r="J634">
        <v>196</v>
      </c>
      <c r="K634" t="s">
        <v>33</v>
      </c>
      <c r="L634" t="s">
        <v>43</v>
      </c>
      <c r="M634" t="s">
        <v>44</v>
      </c>
      <c r="N634">
        <v>4</v>
      </c>
      <c r="O634">
        <v>4.7</v>
      </c>
    </row>
    <row r="635" spans="1:15" x14ac:dyDescent="0.3">
      <c r="A635" t="s">
        <v>1345</v>
      </c>
      <c r="B635" t="s">
        <v>523</v>
      </c>
      <c r="C635" t="s">
        <v>1346</v>
      </c>
      <c r="D635" t="s">
        <v>39</v>
      </c>
      <c r="E635" t="s">
        <v>48</v>
      </c>
      <c r="F635" t="s">
        <v>356</v>
      </c>
      <c r="G635" t="s">
        <v>4</v>
      </c>
      <c r="H635">
        <v>3</v>
      </c>
      <c r="I635">
        <v>12</v>
      </c>
      <c r="J635">
        <v>175</v>
      </c>
      <c r="K635" t="s">
        <v>56</v>
      </c>
      <c r="L635" t="s">
        <v>71</v>
      </c>
      <c r="M635" t="s">
        <v>44</v>
      </c>
      <c r="N635">
        <v>4.7</v>
      </c>
      <c r="O635">
        <v>4.8</v>
      </c>
    </row>
    <row r="636" spans="1:15" x14ac:dyDescent="0.3">
      <c r="A636" t="s">
        <v>1347</v>
      </c>
      <c r="B636" t="s">
        <v>306</v>
      </c>
      <c r="C636" t="s">
        <v>1310</v>
      </c>
      <c r="D636" t="s">
        <v>158</v>
      </c>
      <c r="E636" t="s">
        <v>334</v>
      </c>
      <c r="F636" t="s">
        <v>159</v>
      </c>
      <c r="G636" t="s">
        <v>2</v>
      </c>
      <c r="H636">
        <v>1</v>
      </c>
      <c r="I636">
        <v>5</v>
      </c>
      <c r="J636">
        <v>66</v>
      </c>
      <c r="K636" t="s">
        <v>33</v>
      </c>
      <c r="L636" t="s">
        <v>71</v>
      </c>
      <c r="M636" t="s">
        <v>44</v>
      </c>
      <c r="N636">
        <v>4.7</v>
      </c>
      <c r="O636">
        <v>4.8</v>
      </c>
    </row>
    <row r="637" spans="1:15" x14ac:dyDescent="0.3">
      <c r="A637" t="s">
        <v>1348</v>
      </c>
      <c r="B637" t="s">
        <v>397</v>
      </c>
      <c r="C637" t="s">
        <v>1349</v>
      </c>
      <c r="D637" t="s">
        <v>30</v>
      </c>
      <c r="E637" t="s">
        <v>142</v>
      </c>
      <c r="F637" t="s">
        <v>179</v>
      </c>
      <c r="G637" t="s">
        <v>6</v>
      </c>
      <c r="H637">
        <v>7.2</v>
      </c>
      <c r="I637">
        <v>23</v>
      </c>
      <c r="J637">
        <v>144</v>
      </c>
      <c r="K637" t="s">
        <v>33</v>
      </c>
      <c r="L637" t="s">
        <v>49</v>
      </c>
      <c r="M637" t="s">
        <v>44</v>
      </c>
      <c r="N637">
        <v>4.9000000000000004</v>
      </c>
      <c r="O637">
        <v>4.8</v>
      </c>
    </row>
    <row r="638" spans="1:15" x14ac:dyDescent="0.3">
      <c r="A638" t="s">
        <v>1350</v>
      </c>
      <c r="B638" t="s">
        <v>458</v>
      </c>
      <c r="C638" t="s">
        <v>1351</v>
      </c>
      <c r="D638" t="s">
        <v>39</v>
      </c>
      <c r="E638" t="s">
        <v>40</v>
      </c>
      <c r="F638" t="s">
        <v>155</v>
      </c>
      <c r="G638" t="s">
        <v>4</v>
      </c>
      <c r="H638">
        <v>2.5</v>
      </c>
      <c r="I638">
        <v>13</v>
      </c>
      <c r="J638">
        <v>170</v>
      </c>
      <c r="K638" t="s">
        <v>33</v>
      </c>
      <c r="L638" t="s">
        <v>78</v>
      </c>
      <c r="M638" t="s">
        <v>44</v>
      </c>
      <c r="N638">
        <v>4.7</v>
      </c>
      <c r="O638">
        <v>4.4000000000000004</v>
      </c>
    </row>
    <row r="639" spans="1:15" x14ac:dyDescent="0.3">
      <c r="A639" t="s">
        <v>1352</v>
      </c>
      <c r="B639" t="s">
        <v>232</v>
      </c>
      <c r="C639" t="s">
        <v>1353</v>
      </c>
      <c r="D639" t="s">
        <v>53</v>
      </c>
      <c r="E639" t="s">
        <v>405</v>
      </c>
      <c r="F639" t="s">
        <v>515</v>
      </c>
      <c r="G639" t="s">
        <v>2</v>
      </c>
      <c r="H639">
        <v>1.1000000000000001</v>
      </c>
      <c r="I639">
        <v>9</v>
      </c>
      <c r="J639">
        <v>71</v>
      </c>
      <c r="K639" t="s">
        <v>42</v>
      </c>
      <c r="L639" t="s">
        <v>49</v>
      </c>
      <c r="M639" t="s">
        <v>44</v>
      </c>
      <c r="N639">
        <v>4.7</v>
      </c>
      <c r="O639">
        <v>4.7</v>
      </c>
    </row>
    <row r="640" spans="1:15" x14ac:dyDescent="0.3">
      <c r="A640" t="s">
        <v>1354</v>
      </c>
      <c r="B640" t="s">
        <v>397</v>
      </c>
      <c r="C640" t="s">
        <v>1355</v>
      </c>
      <c r="D640" t="s">
        <v>81</v>
      </c>
      <c r="E640" t="s">
        <v>351</v>
      </c>
      <c r="F640" t="s">
        <v>82</v>
      </c>
      <c r="G640" t="s">
        <v>2</v>
      </c>
      <c r="H640">
        <v>3.9</v>
      </c>
      <c r="I640">
        <v>15</v>
      </c>
      <c r="J640">
        <v>112</v>
      </c>
      <c r="K640" t="s">
        <v>42</v>
      </c>
      <c r="L640" t="s">
        <v>43</v>
      </c>
      <c r="M640" t="s">
        <v>44</v>
      </c>
      <c r="N640">
        <v>5</v>
      </c>
      <c r="O640">
        <v>4.9000000000000004</v>
      </c>
    </row>
    <row r="641" spans="1:15" x14ac:dyDescent="0.3">
      <c r="A641" t="s">
        <v>1356</v>
      </c>
      <c r="B641" t="s">
        <v>104</v>
      </c>
      <c r="C641" t="s">
        <v>954</v>
      </c>
      <c r="D641" t="s">
        <v>30</v>
      </c>
      <c r="E641" t="s">
        <v>100</v>
      </c>
      <c r="F641" t="s">
        <v>179</v>
      </c>
      <c r="G641" t="s">
        <v>2</v>
      </c>
      <c r="H641">
        <v>5</v>
      </c>
      <c r="I641">
        <v>15</v>
      </c>
      <c r="J641">
        <v>103</v>
      </c>
      <c r="K641" t="s">
        <v>33</v>
      </c>
      <c r="L641" t="s">
        <v>43</v>
      </c>
      <c r="M641" t="s">
        <v>44</v>
      </c>
      <c r="N641">
        <v>4.5</v>
      </c>
      <c r="O641">
        <v>4.9000000000000004</v>
      </c>
    </row>
    <row r="642" spans="1:15" x14ac:dyDescent="0.3">
      <c r="A642" t="s">
        <v>1357</v>
      </c>
      <c r="B642" t="s">
        <v>93</v>
      </c>
      <c r="C642" t="s">
        <v>905</v>
      </c>
      <c r="D642" t="s">
        <v>68</v>
      </c>
      <c r="E642" t="s">
        <v>69</v>
      </c>
      <c r="F642" t="s">
        <v>150</v>
      </c>
      <c r="G642" t="s">
        <v>5</v>
      </c>
      <c r="H642">
        <v>9.3000000000000007</v>
      </c>
      <c r="I642">
        <v>15</v>
      </c>
      <c r="J642">
        <v>229</v>
      </c>
      <c r="K642" t="s">
        <v>33</v>
      </c>
      <c r="L642" t="s">
        <v>78</v>
      </c>
      <c r="M642" t="s">
        <v>44</v>
      </c>
      <c r="N642">
        <v>4.3</v>
      </c>
      <c r="O642">
        <v>4.5999999999999996</v>
      </c>
    </row>
    <row r="643" spans="1:15" x14ac:dyDescent="0.3">
      <c r="A643" t="s">
        <v>1358</v>
      </c>
      <c r="B643" t="s">
        <v>98</v>
      </c>
      <c r="C643" t="s">
        <v>946</v>
      </c>
      <c r="D643" t="s">
        <v>75</v>
      </c>
      <c r="E643" t="s">
        <v>239</v>
      </c>
      <c r="F643" t="s">
        <v>578</v>
      </c>
      <c r="G643" t="s">
        <v>7</v>
      </c>
      <c r="H643">
        <v>4.5</v>
      </c>
      <c r="I643">
        <v>11</v>
      </c>
      <c r="J643">
        <v>182</v>
      </c>
      <c r="K643" t="s">
        <v>42</v>
      </c>
      <c r="L643" t="s">
        <v>64</v>
      </c>
      <c r="M643" t="s">
        <v>44</v>
      </c>
      <c r="N643">
        <v>4.8</v>
      </c>
      <c r="O643">
        <v>4.4000000000000004</v>
      </c>
    </row>
    <row r="644" spans="1:15" x14ac:dyDescent="0.3">
      <c r="A644" t="s">
        <v>1359</v>
      </c>
      <c r="B644" t="s">
        <v>463</v>
      </c>
      <c r="C644" t="s">
        <v>1360</v>
      </c>
      <c r="D644" t="s">
        <v>158</v>
      </c>
      <c r="E644" t="s">
        <v>319</v>
      </c>
      <c r="F644" t="s">
        <v>160</v>
      </c>
      <c r="G644" t="s">
        <v>7</v>
      </c>
      <c r="H644">
        <v>6.5</v>
      </c>
      <c r="I644">
        <v>17</v>
      </c>
      <c r="J644">
        <v>195</v>
      </c>
      <c r="K644" t="s">
        <v>33</v>
      </c>
      <c r="L644" t="s">
        <v>49</v>
      </c>
      <c r="M644" t="s">
        <v>44</v>
      </c>
      <c r="N644">
        <v>4.8</v>
      </c>
      <c r="O644">
        <v>5</v>
      </c>
    </row>
    <row r="645" spans="1:15" x14ac:dyDescent="0.3">
      <c r="A645" t="s">
        <v>1361</v>
      </c>
      <c r="B645" t="s">
        <v>306</v>
      </c>
      <c r="C645" t="s">
        <v>371</v>
      </c>
      <c r="D645" t="s">
        <v>158</v>
      </c>
      <c r="E645" t="s">
        <v>334</v>
      </c>
      <c r="F645" t="s">
        <v>284</v>
      </c>
      <c r="G645" t="s">
        <v>2</v>
      </c>
      <c r="H645">
        <v>5.0999999999999996</v>
      </c>
      <c r="I645">
        <v>11</v>
      </c>
      <c r="J645">
        <v>139</v>
      </c>
      <c r="K645" t="s">
        <v>56</v>
      </c>
      <c r="L645" t="s">
        <v>71</v>
      </c>
      <c r="M645" t="s">
        <v>44</v>
      </c>
      <c r="N645">
        <v>4.5999999999999996</v>
      </c>
      <c r="O645">
        <v>5</v>
      </c>
    </row>
    <row r="646" spans="1:15" x14ac:dyDescent="0.3">
      <c r="A646" t="s">
        <v>1362</v>
      </c>
      <c r="B646" t="s">
        <v>200</v>
      </c>
      <c r="C646" t="s">
        <v>749</v>
      </c>
      <c r="D646" t="s">
        <v>68</v>
      </c>
      <c r="E646" t="s">
        <v>150</v>
      </c>
      <c r="F646" t="s">
        <v>210</v>
      </c>
      <c r="G646" t="s">
        <v>6</v>
      </c>
      <c r="H646">
        <v>6.6</v>
      </c>
      <c r="I646">
        <v>14</v>
      </c>
      <c r="J646">
        <v>174</v>
      </c>
      <c r="K646" t="s">
        <v>102</v>
      </c>
      <c r="L646" t="s">
        <v>64</v>
      </c>
      <c r="M646" t="s">
        <v>44</v>
      </c>
      <c r="N646">
        <v>4.5999999999999996</v>
      </c>
      <c r="O646">
        <v>5</v>
      </c>
    </row>
    <row r="647" spans="1:15" x14ac:dyDescent="0.3">
      <c r="A647" t="s">
        <v>1363</v>
      </c>
      <c r="B647" t="s">
        <v>37</v>
      </c>
      <c r="C647" t="s">
        <v>1364</v>
      </c>
      <c r="D647" t="s">
        <v>39</v>
      </c>
      <c r="E647" t="s">
        <v>356</v>
      </c>
      <c r="F647" t="s">
        <v>41</v>
      </c>
      <c r="G647" t="s">
        <v>6</v>
      </c>
      <c r="H647">
        <v>2.5</v>
      </c>
      <c r="I647">
        <v>8</v>
      </c>
      <c r="J647">
        <v>109</v>
      </c>
      <c r="K647" t="s">
        <v>33</v>
      </c>
      <c r="L647" t="s">
        <v>57</v>
      </c>
      <c r="M647" t="s">
        <v>35</v>
      </c>
      <c r="N647">
        <v>5</v>
      </c>
      <c r="O647">
        <v>4.9000000000000004</v>
      </c>
    </row>
    <row r="648" spans="1:15" x14ac:dyDescent="0.3">
      <c r="A648" t="s">
        <v>1365</v>
      </c>
      <c r="B648" t="s">
        <v>181</v>
      </c>
      <c r="C648" t="s">
        <v>1366</v>
      </c>
      <c r="D648" t="s">
        <v>30</v>
      </c>
      <c r="E648" t="s">
        <v>142</v>
      </c>
      <c r="F648" t="s">
        <v>31</v>
      </c>
      <c r="G648" t="s">
        <v>6</v>
      </c>
      <c r="H648">
        <v>1</v>
      </c>
      <c r="I648">
        <v>5</v>
      </c>
      <c r="J648">
        <v>77</v>
      </c>
      <c r="K648" t="s">
        <v>33</v>
      </c>
      <c r="L648" t="s">
        <v>43</v>
      </c>
      <c r="M648" t="s">
        <v>44</v>
      </c>
      <c r="N648">
        <v>4.4000000000000004</v>
      </c>
      <c r="O648">
        <v>4.9000000000000004</v>
      </c>
    </row>
    <row r="649" spans="1:15" x14ac:dyDescent="0.3">
      <c r="A649" t="s">
        <v>1367</v>
      </c>
      <c r="B649" t="s">
        <v>122</v>
      </c>
      <c r="C649" t="s">
        <v>1368</v>
      </c>
      <c r="D649" t="s">
        <v>53</v>
      </c>
      <c r="E649" t="s">
        <v>405</v>
      </c>
      <c r="F649" t="s">
        <v>515</v>
      </c>
      <c r="G649" t="s">
        <v>2</v>
      </c>
      <c r="H649">
        <v>1</v>
      </c>
      <c r="I649">
        <v>5</v>
      </c>
      <c r="J649">
        <v>31</v>
      </c>
      <c r="K649" t="s">
        <v>102</v>
      </c>
      <c r="L649" t="s">
        <v>49</v>
      </c>
      <c r="M649" t="s">
        <v>44</v>
      </c>
      <c r="N649">
        <v>5</v>
      </c>
      <c r="O649">
        <v>4.8</v>
      </c>
    </row>
    <row r="650" spans="1:15" x14ac:dyDescent="0.3">
      <c r="A650" t="s">
        <v>1369</v>
      </c>
      <c r="B650" t="s">
        <v>422</v>
      </c>
      <c r="C650" t="s">
        <v>60</v>
      </c>
      <c r="D650" t="s">
        <v>158</v>
      </c>
      <c r="E650" t="s">
        <v>319</v>
      </c>
      <c r="F650" t="s">
        <v>334</v>
      </c>
      <c r="G650" t="s">
        <v>6</v>
      </c>
      <c r="H650">
        <v>6.5</v>
      </c>
      <c r="I650">
        <v>17</v>
      </c>
      <c r="J650">
        <v>190</v>
      </c>
      <c r="K650" t="s">
        <v>33</v>
      </c>
      <c r="L650" t="s">
        <v>64</v>
      </c>
      <c r="M650" t="s">
        <v>44</v>
      </c>
      <c r="N650">
        <v>4.5</v>
      </c>
      <c r="O650">
        <v>4.5999999999999996</v>
      </c>
    </row>
    <row r="651" spans="1:15" x14ac:dyDescent="0.3">
      <c r="A651" t="s">
        <v>1370</v>
      </c>
      <c r="B651" t="s">
        <v>373</v>
      </c>
      <c r="C651" t="s">
        <v>486</v>
      </c>
      <c r="D651" t="s">
        <v>75</v>
      </c>
      <c r="E651" t="s">
        <v>77</v>
      </c>
      <c r="F651" t="s">
        <v>313</v>
      </c>
      <c r="G651" t="s">
        <v>7</v>
      </c>
      <c r="H651">
        <v>7.1</v>
      </c>
      <c r="I651">
        <v>17</v>
      </c>
      <c r="J651">
        <v>251</v>
      </c>
      <c r="K651" t="s">
        <v>102</v>
      </c>
      <c r="L651" t="s">
        <v>64</v>
      </c>
      <c r="M651" t="s">
        <v>44</v>
      </c>
      <c r="N651">
        <v>4.5999999999999996</v>
      </c>
      <c r="O651">
        <v>4.5</v>
      </c>
    </row>
    <row r="652" spans="1:15" x14ac:dyDescent="0.3">
      <c r="A652" t="s">
        <v>1371</v>
      </c>
      <c r="B652" t="s">
        <v>110</v>
      </c>
      <c r="C652" t="s">
        <v>401</v>
      </c>
      <c r="D652" t="s">
        <v>39</v>
      </c>
      <c r="E652" t="s">
        <v>155</v>
      </c>
      <c r="F652" t="s">
        <v>154</v>
      </c>
      <c r="G652" t="s">
        <v>6</v>
      </c>
      <c r="H652">
        <v>8.9</v>
      </c>
      <c r="I652">
        <v>27</v>
      </c>
      <c r="J652">
        <v>183</v>
      </c>
      <c r="K652" t="s">
        <v>42</v>
      </c>
      <c r="L652" t="s">
        <v>161</v>
      </c>
      <c r="M652" t="s">
        <v>35</v>
      </c>
      <c r="N652">
        <v>4.5</v>
      </c>
      <c r="O652">
        <v>4.8</v>
      </c>
    </row>
    <row r="653" spans="1:15" x14ac:dyDescent="0.3">
      <c r="A653" t="s">
        <v>1372</v>
      </c>
      <c r="B653" t="s">
        <v>300</v>
      </c>
      <c r="C653" t="s">
        <v>1373</v>
      </c>
      <c r="D653" t="s">
        <v>81</v>
      </c>
      <c r="E653" t="s">
        <v>82</v>
      </c>
      <c r="F653" t="s">
        <v>268</v>
      </c>
      <c r="G653" t="s">
        <v>4</v>
      </c>
      <c r="H653">
        <v>1.3</v>
      </c>
      <c r="I653">
        <v>5</v>
      </c>
      <c r="J653">
        <v>145</v>
      </c>
      <c r="K653" t="s">
        <v>42</v>
      </c>
      <c r="L653" t="s">
        <v>64</v>
      </c>
      <c r="M653" t="s">
        <v>44</v>
      </c>
      <c r="N653">
        <v>4.7</v>
      </c>
      <c r="O653">
        <v>5</v>
      </c>
    </row>
    <row r="654" spans="1:15" x14ac:dyDescent="0.3">
      <c r="A654" t="s">
        <v>1374</v>
      </c>
      <c r="B654" t="s">
        <v>300</v>
      </c>
      <c r="C654" t="s">
        <v>1375</v>
      </c>
      <c r="D654" t="s">
        <v>75</v>
      </c>
      <c r="E654" t="s">
        <v>77</v>
      </c>
      <c r="F654" t="s">
        <v>578</v>
      </c>
      <c r="G654" t="s">
        <v>6</v>
      </c>
      <c r="H654">
        <v>3.5</v>
      </c>
      <c r="I654">
        <v>13</v>
      </c>
      <c r="J654">
        <v>106</v>
      </c>
      <c r="K654" t="s">
        <v>33</v>
      </c>
      <c r="L654" t="s">
        <v>49</v>
      </c>
      <c r="M654" t="s">
        <v>44</v>
      </c>
      <c r="N654">
        <v>4.5999999999999996</v>
      </c>
      <c r="O654">
        <v>4.5</v>
      </c>
    </row>
    <row r="655" spans="1:15" x14ac:dyDescent="0.3">
      <c r="A655" t="s">
        <v>1376</v>
      </c>
      <c r="B655" t="s">
        <v>458</v>
      </c>
      <c r="C655" t="s">
        <v>1377</v>
      </c>
      <c r="D655" t="s">
        <v>158</v>
      </c>
      <c r="E655" t="s">
        <v>334</v>
      </c>
      <c r="F655" t="s">
        <v>316</v>
      </c>
      <c r="G655" t="s">
        <v>6</v>
      </c>
      <c r="H655">
        <v>3.1</v>
      </c>
      <c r="I655">
        <v>6</v>
      </c>
      <c r="J655">
        <v>112</v>
      </c>
      <c r="K655" t="s">
        <v>33</v>
      </c>
      <c r="L655" t="s">
        <v>43</v>
      </c>
      <c r="M655" t="s">
        <v>44</v>
      </c>
      <c r="N655">
        <v>5</v>
      </c>
      <c r="O655">
        <v>5</v>
      </c>
    </row>
    <row r="656" spans="1:15" x14ac:dyDescent="0.3">
      <c r="A656" t="s">
        <v>1378</v>
      </c>
      <c r="B656" t="s">
        <v>88</v>
      </c>
      <c r="C656" t="s">
        <v>1379</v>
      </c>
      <c r="D656" t="s">
        <v>53</v>
      </c>
      <c r="E656" t="s">
        <v>54</v>
      </c>
      <c r="F656" t="s">
        <v>236</v>
      </c>
      <c r="G656" t="s">
        <v>6</v>
      </c>
      <c r="H656">
        <v>2.2999999999999998</v>
      </c>
      <c r="I656">
        <v>9</v>
      </c>
      <c r="J656">
        <v>71</v>
      </c>
      <c r="K656" t="s">
        <v>192</v>
      </c>
      <c r="L656" t="s">
        <v>57</v>
      </c>
      <c r="M656" t="s">
        <v>35</v>
      </c>
      <c r="N656">
        <v>4.8</v>
      </c>
      <c r="O656">
        <v>4.7</v>
      </c>
    </row>
    <row r="657" spans="1:15" x14ac:dyDescent="0.3">
      <c r="A657" t="s">
        <v>1380</v>
      </c>
      <c r="B657" t="s">
        <v>152</v>
      </c>
      <c r="C657" t="s">
        <v>573</v>
      </c>
      <c r="D657" t="s">
        <v>75</v>
      </c>
      <c r="E657" t="s">
        <v>578</v>
      </c>
      <c r="F657" t="s">
        <v>394</v>
      </c>
      <c r="G657" t="s">
        <v>6</v>
      </c>
      <c r="H657">
        <v>4.3</v>
      </c>
      <c r="I657">
        <v>17</v>
      </c>
      <c r="J657">
        <v>139</v>
      </c>
      <c r="K657" t="s">
        <v>33</v>
      </c>
      <c r="L657" t="s">
        <v>43</v>
      </c>
      <c r="M657" t="s">
        <v>44</v>
      </c>
      <c r="N657">
        <v>4.8</v>
      </c>
      <c r="O657">
        <v>4.9000000000000004</v>
      </c>
    </row>
    <row r="658" spans="1:15" x14ac:dyDescent="0.3">
      <c r="A658" t="s">
        <v>1381</v>
      </c>
      <c r="B658" t="s">
        <v>453</v>
      </c>
      <c r="C658" t="s">
        <v>1382</v>
      </c>
      <c r="D658" t="s">
        <v>53</v>
      </c>
      <c r="E658" t="s">
        <v>220</v>
      </c>
      <c r="F658" t="s">
        <v>86</v>
      </c>
      <c r="G658" t="s">
        <v>6</v>
      </c>
      <c r="H658">
        <v>8.6</v>
      </c>
      <c r="I658">
        <v>12</v>
      </c>
      <c r="J658">
        <v>205</v>
      </c>
      <c r="K658" t="s">
        <v>102</v>
      </c>
      <c r="L658" t="s">
        <v>64</v>
      </c>
      <c r="M658" t="s">
        <v>44</v>
      </c>
      <c r="N658">
        <v>5</v>
      </c>
      <c r="O658">
        <v>5</v>
      </c>
    </row>
    <row r="659" spans="1:15" x14ac:dyDescent="0.3">
      <c r="A659" t="s">
        <v>1383</v>
      </c>
      <c r="B659" t="s">
        <v>853</v>
      </c>
      <c r="C659" t="s">
        <v>1384</v>
      </c>
      <c r="D659" t="s">
        <v>53</v>
      </c>
      <c r="E659" t="s">
        <v>54</v>
      </c>
      <c r="F659" t="s">
        <v>236</v>
      </c>
      <c r="G659" t="s">
        <v>4</v>
      </c>
      <c r="H659">
        <v>2.1</v>
      </c>
      <c r="I659">
        <v>9</v>
      </c>
      <c r="J659">
        <v>125</v>
      </c>
      <c r="K659" t="s">
        <v>102</v>
      </c>
      <c r="L659" t="s">
        <v>49</v>
      </c>
      <c r="M659" t="s">
        <v>44</v>
      </c>
      <c r="N659">
        <v>4.4000000000000004</v>
      </c>
      <c r="O659">
        <v>4.7</v>
      </c>
    </row>
    <row r="660" spans="1:15" x14ac:dyDescent="0.3">
      <c r="A660" t="s">
        <v>1385</v>
      </c>
      <c r="B660" t="s">
        <v>447</v>
      </c>
      <c r="C660" t="s">
        <v>1386</v>
      </c>
      <c r="D660" t="s">
        <v>61</v>
      </c>
      <c r="E660" t="s">
        <v>183</v>
      </c>
      <c r="F660" t="s">
        <v>95</v>
      </c>
      <c r="G660" t="s">
        <v>4</v>
      </c>
      <c r="H660">
        <v>5.9</v>
      </c>
      <c r="I660">
        <v>7</v>
      </c>
      <c r="J660">
        <v>255</v>
      </c>
      <c r="K660" t="s">
        <v>42</v>
      </c>
      <c r="L660" t="s">
        <v>49</v>
      </c>
      <c r="M660" t="s">
        <v>44</v>
      </c>
      <c r="N660">
        <v>4.5999999999999996</v>
      </c>
      <c r="O660">
        <v>4.7</v>
      </c>
    </row>
    <row r="661" spans="1:15" x14ac:dyDescent="0.3">
      <c r="A661" t="s">
        <v>1387</v>
      </c>
      <c r="B661" t="s">
        <v>441</v>
      </c>
      <c r="C661" t="s">
        <v>1388</v>
      </c>
      <c r="D661" t="s">
        <v>30</v>
      </c>
      <c r="E661" t="s">
        <v>32</v>
      </c>
      <c r="F661" t="s">
        <v>31</v>
      </c>
      <c r="G661" t="s">
        <v>4</v>
      </c>
      <c r="H661">
        <v>2.1</v>
      </c>
      <c r="I661">
        <v>5</v>
      </c>
      <c r="J661">
        <v>129</v>
      </c>
      <c r="K661" t="s">
        <v>33</v>
      </c>
      <c r="L661" t="s">
        <v>78</v>
      </c>
      <c r="M661" t="s">
        <v>44</v>
      </c>
      <c r="N661">
        <v>5</v>
      </c>
      <c r="O661">
        <v>4.5</v>
      </c>
    </row>
    <row r="662" spans="1:15" x14ac:dyDescent="0.3">
      <c r="A662" t="s">
        <v>1389</v>
      </c>
      <c r="B662" t="s">
        <v>458</v>
      </c>
      <c r="C662" t="s">
        <v>1127</v>
      </c>
      <c r="D662" t="s">
        <v>53</v>
      </c>
      <c r="E662" t="s">
        <v>55</v>
      </c>
      <c r="F662" t="s">
        <v>405</v>
      </c>
      <c r="G662" t="s">
        <v>6</v>
      </c>
      <c r="H662">
        <v>17.5</v>
      </c>
      <c r="I662">
        <v>33</v>
      </c>
      <c r="J662">
        <v>385</v>
      </c>
      <c r="K662" t="s">
        <v>33</v>
      </c>
      <c r="L662" t="s">
        <v>43</v>
      </c>
      <c r="M662" t="s">
        <v>44</v>
      </c>
      <c r="N662">
        <v>4.7</v>
      </c>
      <c r="O662">
        <v>5</v>
      </c>
    </row>
    <row r="663" spans="1:15" x14ac:dyDescent="0.3">
      <c r="A663" t="s">
        <v>1390</v>
      </c>
      <c r="B663" t="s">
        <v>586</v>
      </c>
      <c r="C663" t="s">
        <v>1391</v>
      </c>
      <c r="D663" t="s">
        <v>75</v>
      </c>
      <c r="E663" t="s">
        <v>77</v>
      </c>
      <c r="F663" t="s">
        <v>230</v>
      </c>
      <c r="G663" t="s">
        <v>4</v>
      </c>
      <c r="H663">
        <v>7.7</v>
      </c>
      <c r="I663">
        <v>18</v>
      </c>
      <c r="J663">
        <v>269</v>
      </c>
      <c r="K663" t="s">
        <v>102</v>
      </c>
      <c r="L663" t="s">
        <v>161</v>
      </c>
      <c r="M663" t="s">
        <v>35</v>
      </c>
      <c r="N663">
        <v>4.5999999999999996</v>
      </c>
      <c r="O663">
        <v>4.8</v>
      </c>
    </row>
    <row r="664" spans="1:15" x14ac:dyDescent="0.3">
      <c r="A664" t="s">
        <v>1392</v>
      </c>
      <c r="B664" t="s">
        <v>684</v>
      </c>
      <c r="C664" t="s">
        <v>1393</v>
      </c>
      <c r="D664" t="s">
        <v>53</v>
      </c>
      <c r="E664" t="s">
        <v>86</v>
      </c>
      <c r="F664" t="s">
        <v>55</v>
      </c>
      <c r="G664" t="s">
        <v>2</v>
      </c>
      <c r="H664">
        <v>4.5999999999999996</v>
      </c>
      <c r="I664">
        <v>10</v>
      </c>
      <c r="J664">
        <v>103</v>
      </c>
      <c r="K664" t="s">
        <v>102</v>
      </c>
      <c r="L664" t="s">
        <v>64</v>
      </c>
      <c r="M664" t="s">
        <v>44</v>
      </c>
      <c r="N664">
        <v>5</v>
      </c>
      <c r="O664">
        <v>5</v>
      </c>
    </row>
    <row r="665" spans="1:15" x14ac:dyDescent="0.3">
      <c r="A665" t="s">
        <v>1394</v>
      </c>
      <c r="B665" t="s">
        <v>629</v>
      </c>
      <c r="C665" t="s">
        <v>1395</v>
      </c>
      <c r="D665" t="s">
        <v>30</v>
      </c>
      <c r="E665" t="s">
        <v>179</v>
      </c>
      <c r="F665" t="s">
        <v>112</v>
      </c>
      <c r="G665" t="s">
        <v>2</v>
      </c>
      <c r="H665">
        <v>1</v>
      </c>
      <c r="I665">
        <v>5</v>
      </c>
      <c r="J665">
        <v>56</v>
      </c>
      <c r="K665" t="s">
        <v>33</v>
      </c>
      <c r="L665" t="s">
        <v>71</v>
      </c>
      <c r="M665" t="s">
        <v>44</v>
      </c>
      <c r="N665">
        <v>4.8</v>
      </c>
      <c r="O665">
        <v>4.5</v>
      </c>
    </row>
    <row r="666" spans="1:15" x14ac:dyDescent="0.3">
      <c r="A666" t="s">
        <v>1396</v>
      </c>
      <c r="B666" t="s">
        <v>294</v>
      </c>
      <c r="C666" t="s">
        <v>1397</v>
      </c>
      <c r="D666" t="s">
        <v>61</v>
      </c>
      <c r="E666" t="s">
        <v>116</v>
      </c>
      <c r="F666" t="s">
        <v>191</v>
      </c>
      <c r="G666" t="s">
        <v>4</v>
      </c>
      <c r="H666">
        <v>13.4</v>
      </c>
      <c r="I666">
        <v>37</v>
      </c>
      <c r="J666">
        <v>432</v>
      </c>
      <c r="K666" t="s">
        <v>33</v>
      </c>
      <c r="L666" t="s">
        <v>43</v>
      </c>
      <c r="M666" t="s">
        <v>44</v>
      </c>
      <c r="N666">
        <v>4.5999999999999996</v>
      </c>
      <c r="O666">
        <v>4.8</v>
      </c>
    </row>
    <row r="667" spans="1:15" x14ac:dyDescent="0.3">
      <c r="A667" t="s">
        <v>1398</v>
      </c>
      <c r="B667" t="s">
        <v>447</v>
      </c>
      <c r="C667" t="s">
        <v>1399</v>
      </c>
      <c r="D667" t="s">
        <v>39</v>
      </c>
      <c r="E667" t="s">
        <v>48</v>
      </c>
      <c r="F667" t="s">
        <v>484</v>
      </c>
      <c r="G667" t="s">
        <v>7</v>
      </c>
      <c r="H667">
        <v>8.6</v>
      </c>
      <c r="I667">
        <v>25</v>
      </c>
      <c r="J667">
        <v>335</v>
      </c>
      <c r="K667" t="s">
        <v>102</v>
      </c>
      <c r="L667" t="s">
        <v>43</v>
      </c>
      <c r="M667" t="s">
        <v>44</v>
      </c>
      <c r="N667">
        <v>4.8</v>
      </c>
      <c r="O667">
        <v>5</v>
      </c>
    </row>
    <row r="668" spans="1:15" x14ac:dyDescent="0.3">
      <c r="A668" t="s">
        <v>1400</v>
      </c>
      <c r="B668" t="s">
        <v>604</v>
      </c>
      <c r="C668" t="s">
        <v>1401</v>
      </c>
      <c r="D668" t="s">
        <v>106</v>
      </c>
      <c r="E668" t="s">
        <v>168</v>
      </c>
      <c r="F668" t="s">
        <v>126</v>
      </c>
      <c r="G668" t="s">
        <v>6</v>
      </c>
      <c r="H668">
        <v>8.9</v>
      </c>
      <c r="I668">
        <v>25</v>
      </c>
      <c r="J668">
        <v>212</v>
      </c>
      <c r="K668" t="s">
        <v>102</v>
      </c>
      <c r="L668" t="s">
        <v>78</v>
      </c>
      <c r="M668" t="s">
        <v>44</v>
      </c>
      <c r="N668">
        <v>4.7</v>
      </c>
      <c r="O668">
        <v>5</v>
      </c>
    </row>
    <row r="669" spans="1:15" x14ac:dyDescent="0.3">
      <c r="A669" t="s">
        <v>1402</v>
      </c>
      <c r="B669" t="s">
        <v>46</v>
      </c>
      <c r="C669" t="s">
        <v>1403</v>
      </c>
      <c r="D669" t="s">
        <v>61</v>
      </c>
      <c r="E669" t="s">
        <v>191</v>
      </c>
      <c r="F669" t="s">
        <v>183</v>
      </c>
      <c r="G669" t="s">
        <v>3</v>
      </c>
      <c r="H669">
        <v>1.4</v>
      </c>
      <c r="I669">
        <v>5</v>
      </c>
      <c r="J669">
        <v>173</v>
      </c>
      <c r="K669" t="s">
        <v>33</v>
      </c>
      <c r="L669" t="s">
        <v>78</v>
      </c>
      <c r="M669" t="s">
        <v>44</v>
      </c>
      <c r="N669">
        <v>4.7</v>
      </c>
      <c r="O669">
        <v>4.9000000000000004</v>
      </c>
    </row>
    <row r="670" spans="1:15" x14ac:dyDescent="0.3">
      <c r="A670" t="s">
        <v>1404</v>
      </c>
      <c r="B670" t="s">
        <v>286</v>
      </c>
      <c r="C670" t="s">
        <v>1405</v>
      </c>
      <c r="D670" t="s">
        <v>39</v>
      </c>
      <c r="E670" t="s">
        <v>48</v>
      </c>
      <c r="F670" t="s">
        <v>154</v>
      </c>
      <c r="G670" t="s">
        <v>7</v>
      </c>
      <c r="H670">
        <v>3.7</v>
      </c>
      <c r="I670">
        <v>14</v>
      </c>
      <c r="J670">
        <v>126</v>
      </c>
      <c r="K670" t="s">
        <v>42</v>
      </c>
      <c r="L670" t="s">
        <v>78</v>
      </c>
      <c r="M670" t="s">
        <v>44</v>
      </c>
      <c r="N670">
        <v>4.5</v>
      </c>
      <c r="O670">
        <v>5</v>
      </c>
    </row>
    <row r="671" spans="1:15" x14ac:dyDescent="0.3">
      <c r="A671" t="s">
        <v>1406</v>
      </c>
      <c r="B671" t="s">
        <v>170</v>
      </c>
      <c r="C671" t="s">
        <v>1407</v>
      </c>
      <c r="D671" t="s">
        <v>68</v>
      </c>
      <c r="E671" t="s">
        <v>70</v>
      </c>
      <c r="F671" t="s">
        <v>172</v>
      </c>
      <c r="G671" t="s">
        <v>7</v>
      </c>
      <c r="H671">
        <v>4.7</v>
      </c>
      <c r="I671">
        <v>11</v>
      </c>
      <c r="J671">
        <v>204</v>
      </c>
      <c r="K671" t="s">
        <v>42</v>
      </c>
      <c r="L671" t="s">
        <v>43</v>
      </c>
      <c r="M671" t="s">
        <v>44</v>
      </c>
      <c r="N671">
        <v>5</v>
      </c>
      <c r="O671">
        <v>4.5</v>
      </c>
    </row>
    <row r="672" spans="1:15" x14ac:dyDescent="0.3">
      <c r="A672" t="s">
        <v>1408</v>
      </c>
      <c r="B672" t="s">
        <v>73</v>
      </c>
      <c r="C672" t="s">
        <v>1329</v>
      </c>
      <c r="D672" t="s">
        <v>106</v>
      </c>
      <c r="E672" t="s">
        <v>290</v>
      </c>
      <c r="F672" t="s">
        <v>126</v>
      </c>
      <c r="G672" t="s">
        <v>6</v>
      </c>
      <c r="H672">
        <v>1</v>
      </c>
      <c r="I672">
        <v>9</v>
      </c>
      <c r="J672">
        <v>113</v>
      </c>
      <c r="K672" t="s">
        <v>33</v>
      </c>
      <c r="L672" t="s">
        <v>71</v>
      </c>
      <c r="M672" t="s">
        <v>44</v>
      </c>
      <c r="N672">
        <v>4.8</v>
      </c>
      <c r="O672">
        <v>4.7</v>
      </c>
    </row>
    <row r="673" spans="1:15" x14ac:dyDescent="0.3">
      <c r="A673" t="s">
        <v>1409</v>
      </c>
      <c r="B673" t="s">
        <v>66</v>
      </c>
      <c r="C673" t="s">
        <v>1410</v>
      </c>
      <c r="D673" t="s">
        <v>81</v>
      </c>
      <c r="E673" t="s">
        <v>83</v>
      </c>
      <c r="F673" t="s">
        <v>201</v>
      </c>
      <c r="G673" t="s">
        <v>2</v>
      </c>
      <c r="H673">
        <v>4.5999999999999996</v>
      </c>
      <c r="I673">
        <v>18</v>
      </c>
      <c r="J673">
        <v>106</v>
      </c>
      <c r="K673" t="s">
        <v>102</v>
      </c>
      <c r="L673" t="s">
        <v>43</v>
      </c>
      <c r="M673" t="s">
        <v>44</v>
      </c>
      <c r="N673">
        <v>5</v>
      </c>
      <c r="O673">
        <v>4.5999999999999996</v>
      </c>
    </row>
    <row r="674" spans="1:15" x14ac:dyDescent="0.3">
      <c r="A674" t="s">
        <v>1411</v>
      </c>
      <c r="B674" t="s">
        <v>441</v>
      </c>
      <c r="C674" t="s">
        <v>1412</v>
      </c>
      <c r="D674" t="s">
        <v>106</v>
      </c>
      <c r="E674" t="s">
        <v>108</v>
      </c>
      <c r="F674" t="s">
        <v>187</v>
      </c>
      <c r="G674" t="s">
        <v>2</v>
      </c>
      <c r="H674">
        <v>1.8</v>
      </c>
      <c r="I674">
        <v>12</v>
      </c>
      <c r="J674">
        <v>54</v>
      </c>
      <c r="K674" t="s">
        <v>33</v>
      </c>
      <c r="L674" t="s">
        <v>49</v>
      </c>
      <c r="M674" t="s">
        <v>44</v>
      </c>
      <c r="N674">
        <v>4.5</v>
      </c>
      <c r="O674">
        <v>4.7</v>
      </c>
    </row>
    <row r="675" spans="1:15" x14ac:dyDescent="0.3">
      <c r="A675" t="s">
        <v>1413</v>
      </c>
      <c r="B675" t="s">
        <v>300</v>
      </c>
      <c r="C675" t="s">
        <v>1414</v>
      </c>
      <c r="D675" t="s">
        <v>81</v>
      </c>
      <c r="E675" t="s">
        <v>91</v>
      </c>
      <c r="F675" t="s">
        <v>134</v>
      </c>
      <c r="G675" t="s">
        <v>5</v>
      </c>
      <c r="H675">
        <v>1</v>
      </c>
      <c r="I675">
        <v>5</v>
      </c>
      <c r="J675">
        <v>119</v>
      </c>
      <c r="K675" t="s">
        <v>33</v>
      </c>
      <c r="L675" t="s">
        <v>64</v>
      </c>
      <c r="M675" t="s">
        <v>44</v>
      </c>
      <c r="N675">
        <v>5</v>
      </c>
      <c r="O675">
        <v>4.5999999999999996</v>
      </c>
    </row>
    <row r="676" spans="1:15" x14ac:dyDescent="0.3">
      <c r="A676" t="s">
        <v>1415</v>
      </c>
      <c r="B676" t="s">
        <v>562</v>
      </c>
      <c r="C676" t="s">
        <v>1416</v>
      </c>
      <c r="D676" t="s">
        <v>30</v>
      </c>
      <c r="E676" t="s">
        <v>142</v>
      </c>
      <c r="F676" t="s">
        <v>32</v>
      </c>
      <c r="G676" t="s">
        <v>6</v>
      </c>
      <c r="H676">
        <v>1.4</v>
      </c>
      <c r="I676">
        <v>10</v>
      </c>
      <c r="J676">
        <v>68</v>
      </c>
      <c r="K676" t="s">
        <v>33</v>
      </c>
      <c r="L676" t="s">
        <v>78</v>
      </c>
      <c r="M676" t="s">
        <v>44</v>
      </c>
      <c r="N676">
        <v>4.7</v>
      </c>
      <c r="O676">
        <v>4.8</v>
      </c>
    </row>
    <row r="677" spans="1:15" x14ac:dyDescent="0.3">
      <c r="A677" t="s">
        <v>1417</v>
      </c>
      <c r="B677" t="s">
        <v>403</v>
      </c>
      <c r="C677" t="s">
        <v>1418</v>
      </c>
      <c r="D677" t="s">
        <v>75</v>
      </c>
      <c r="E677" t="s">
        <v>77</v>
      </c>
      <c r="F677" t="s">
        <v>239</v>
      </c>
      <c r="G677" t="s">
        <v>6</v>
      </c>
      <c r="H677">
        <v>5.2</v>
      </c>
      <c r="I677">
        <v>12</v>
      </c>
      <c r="J677">
        <v>160</v>
      </c>
      <c r="K677" t="s">
        <v>42</v>
      </c>
      <c r="L677" t="s">
        <v>49</v>
      </c>
      <c r="M677" t="s">
        <v>44</v>
      </c>
      <c r="N677">
        <v>4.2</v>
      </c>
      <c r="O677">
        <v>4.5999999999999996</v>
      </c>
    </row>
    <row r="678" spans="1:15" x14ac:dyDescent="0.3">
      <c r="A678" t="s">
        <v>1419</v>
      </c>
      <c r="B678" t="s">
        <v>104</v>
      </c>
      <c r="C678" t="s">
        <v>1333</v>
      </c>
      <c r="D678" t="s">
        <v>30</v>
      </c>
      <c r="E678" t="s">
        <v>100</v>
      </c>
      <c r="F678" t="s">
        <v>112</v>
      </c>
      <c r="G678" t="s">
        <v>6</v>
      </c>
      <c r="H678">
        <v>4.2</v>
      </c>
      <c r="I678">
        <v>15</v>
      </c>
      <c r="J678">
        <v>144</v>
      </c>
      <c r="K678" t="s">
        <v>33</v>
      </c>
      <c r="L678" t="s">
        <v>71</v>
      </c>
      <c r="M678" t="s">
        <v>44</v>
      </c>
      <c r="N678">
        <v>4.5</v>
      </c>
      <c r="O678">
        <v>4.7</v>
      </c>
    </row>
    <row r="679" spans="1:15" x14ac:dyDescent="0.3">
      <c r="A679" t="s">
        <v>1420</v>
      </c>
      <c r="B679" t="s">
        <v>604</v>
      </c>
      <c r="C679" t="s">
        <v>1421</v>
      </c>
      <c r="D679" t="s">
        <v>81</v>
      </c>
      <c r="E679" t="s">
        <v>268</v>
      </c>
      <c r="F679" t="s">
        <v>82</v>
      </c>
      <c r="G679" t="s">
        <v>6</v>
      </c>
      <c r="H679">
        <v>6.3</v>
      </c>
      <c r="I679">
        <v>16</v>
      </c>
      <c r="J679">
        <v>159</v>
      </c>
      <c r="K679" t="s">
        <v>33</v>
      </c>
      <c r="L679" t="s">
        <v>34</v>
      </c>
      <c r="M679" t="s">
        <v>35</v>
      </c>
      <c r="N679">
        <v>4.5</v>
      </c>
      <c r="O679">
        <v>4.7</v>
      </c>
    </row>
    <row r="680" spans="1:15" x14ac:dyDescent="0.3">
      <c r="A680" t="s">
        <v>1422</v>
      </c>
      <c r="B680" t="s">
        <v>306</v>
      </c>
      <c r="C680" t="s">
        <v>1423</v>
      </c>
      <c r="D680" t="s">
        <v>68</v>
      </c>
      <c r="E680" t="s">
        <v>150</v>
      </c>
      <c r="F680" t="s">
        <v>70</v>
      </c>
      <c r="G680" t="s">
        <v>4</v>
      </c>
      <c r="H680">
        <v>7</v>
      </c>
      <c r="I680">
        <v>9</v>
      </c>
      <c r="J680">
        <v>324</v>
      </c>
      <c r="K680" t="s">
        <v>33</v>
      </c>
      <c r="L680" t="s">
        <v>71</v>
      </c>
      <c r="M680" t="s">
        <v>44</v>
      </c>
      <c r="N680">
        <v>4.8</v>
      </c>
      <c r="O680">
        <v>4.9000000000000004</v>
      </c>
    </row>
    <row r="681" spans="1:15" x14ac:dyDescent="0.3">
      <c r="A681" t="s">
        <v>1424</v>
      </c>
      <c r="B681" t="s">
        <v>370</v>
      </c>
      <c r="C681" t="s">
        <v>1425</v>
      </c>
      <c r="D681" t="s">
        <v>158</v>
      </c>
      <c r="E681" t="s">
        <v>283</v>
      </c>
      <c r="F681" t="s">
        <v>159</v>
      </c>
      <c r="G681" t="s">
        <v>4</v>
      </c>
      <c r="H681">
        <v>4</v>
      </c>
      <c r="I681">
        <v>8</v>
      </c>
      <c r="J681">
        <v>237</v>
      </c>
      <c r="K681" t="s">
        <v>33</v>
      </c>
      <c r="L681" t="s">
        <v>71</v>
      </c>
      <c r="M681" t="s">
        <v>44</v>
      </c>
      <c r="N681">
        <v>4.5999999999999996</v>
      </c>
      <c r="O681">
        <v>4.9000000000000004</v>
      </c>
    </row>
    <row r="682" spans="1:15" x14ac:dyDescent="0.3">
      <c r="A682" t="s">
        <v>1426</v>
      </c>
      <c r="B682" t="s">
        <v>110</v>
      </c>
      <c r="C682" t="s">
        <v>747</v>
      </c>
      <c r="D682" t="s">
        <v>106</v>
      </c>
      <c r="E682" t="s">
        <v>443</v>
      </c>
      <c r="F682" t="s">
        <v>290</v>
      </c>
      <c r="G682" t="s">
        <v>2</v>
      </c>
      <c r="H682">
        <v>4</v>
      </c>
      <c r="I682">
        <v>14</v>
      </c>
      <c r="J682">
        <v>81</v>
      </c>
      <c r="K682" t="s">
        <v>42</v>
      </c>
      <c r="L682" t="s">
        <v>49</v>
      </c>
      <c r="M682" t="s">
        <v>44</v>
      </c>
      <c r="N682">
        <v>5</v>
      </c>
      <c r="O682">
        <v>4.4000000000000004</v>
      </c>
    </row>
    <row r="683" spans="1:15" x14ac:dyDescent="0.3">
      <c r="A683" t="s">
        <v>1427</v>
      </c>
      <c r="B683" t="s">
        <v>200</v>
      </c>
      <c r="C683" t="s">
        <v>1428</v>
      </c>
      <c r="D683" t="s">
        <v>30</v>
      </c>
      <c r="E683" t="s">
        <v>101</v>
      </c>
      <c r="F683" t="s">
        <v>112</v>
      </c>
      <c r="G683" t="s">
        <v>2</v>
      </c>
      <c r="H683">
        <v>2.2000000000000002</v>
      </c>
      <c r="I683">
        <v>8</v>
      </c>
      <c r="J683">
        <v>69</v>
      </c>
      <c r="K683" t="s">
        <v>33</v>
      </c>
      <c r="L683" t="s">
        <v>78</v>
      </c>
      <c r="M683" t="s">
        <v>44</v>
      </c>
      <c r="N683">
        <v>4.9000000000000004</v>
      </c>
      <c r="O683">
        <v>4.4000000000000004</v>
      </c>
    </row>
    <row r="684" spans="1:15" x14ac:dyDescent="0.3">
      <c r="A684" t="s">
        <v>1429</v>
      </c>
      <c r="B684" t="s">
        <v>476</v>
      </c>
      <c r="C684" t="s">
        <v>1430</v>
      </c>
      <c r="D684" t="s">
        <v>53</v>
      </c>
      <c r="E684" t="s">
        <v>405</v>
      </c>
      <c r="F684" t="s">
        <v>236</v>
      </c>
      <c r="G684" t="s">
        <v>5</v>
      </c>
      <c r="H684">
        <v>22.5</v>
      </c>
      <c r="I684">
        <v>53</v>
      </c>
      <c r="J684">
        <v>557</v>
      </c>
      <c r="K684" t="s">
        <v>33</v>
      </c>
      <c r="L684" t="s">
        <v>78</v>
      </c>
      <c r="M684" t="s">
        <v>44</v>
      </c>
      <c r="N684">
        <v>4.3</v>
      </c>
      <c r="O684">
        <v>4.8</v>
      </c>
    </row>
    <row r="685" spans="1:15" x14ac:dyDescent="0.3">
      <c r="A685" t="s">
        <v>1431</v>
      </c>
      <c r="B685" t="s">
        <v>66</v>
      </c>
      <c r="C685" t="s">
        <v>1432</v>
      </c>
      <c r="D685" t="s">
        <v>158</v>
      </c>
      <c r="E685" t="s">
        <v>319</v>
      </c>
      <c r="F685" t="s">
        <v>159</v>
      </c>
      <c r="G685" t="s">
        <v>6</v>
      </c>
      <c r="H685">
        <v>6.8</v>
      </c>
      <c r="I685">
        <v>13</v>
      </c>
      <c r="J685">
        <v>177</v>
      </c>
      <c r="K685" t="s">
        <v>33</v>
      </c>
      <c r="L685" t="s">
        <v>49</v>
      </c>
      <c r="M685" t="s">
        <v>44</v>
      </c>
      <c r="N685">
        <v>4.4000000000000004</v>
      </c>
      <c r="O685">
        <v>5</v>
      </c>
    </row>
    <row r="686" spans="1:15" x14ac:dyDescent="0.3">
      <c r="A686" t="s">
        <v>1433</v>
      </c>
      <c r="B686" t="s">
        <v>349</v>
      </c>
      <c r="C686" t="s">
        <v>366</v>
      </c>
      <c r="D686" t="s">
        <v>68</v>
      </c>
      <c r="E686" t="s">
        <v>130</v>
      </c>
      <c r="F686" t="s">
        <v>120</v>
      </c>
      <c r="G686" t="s">
        <v>4</v>
      </c>
      <c r="H686">
        <v>1.2</v>
      </c>
      <c r="I686">
        <v>5</v>
      </c>
      <c r="J686">
        <v>112</v>
      </c>
      <c r="K686" t="s">
        <v>33</v>
      </c>
      <c r="L686" t="s">
        <v>49</v>
      </c>
      <c r="M686" t="s">
        <v>44</v>
      </c>
      <c r="N686">
        <v>5</v>
      </c>
      <c r="O686">
        <v>4.8</v>
      </c>
    </row>
    <row r="687" spans="1:15" x14ac:dyDescent="0.3">
      <c r="A687" t="s">
        <v>1434</v>
      </c>
      <c r="B687" t="s">
        <v>110</v>
      </c>
      <c r="C687" t="s">
        <v>393</v>
      </c>
      <c r="D687" t="s">
        <v>61</v>
      </c>
      <c r="E687" t="s">
        <v>62</v>
      </c>
      <c r="F687" t="s">
        <v>183</v>
      </c>
      <c r="G687" t="s">
        <v>7</v>
      </c>
      <c r="H687">
        <v>2.5</v>
      </c>
      <c r="I687">
        <v>9</v>
      </c>
      <c r="J687">
        <v>148</v>
      </c>
      <c r="K687" t="s">
        <v>42</v>
      </c>
      <c r="L687" t="s">
        <v>34</v>
      </c>
      <c r="M687" t="s">
        <v>35</v>
      </c>
      <c r="N687">
        <v>4.8</v>
      </c>
      <c r="O687">
        <v>4.8</v>
      </c>
    </row>
    <row r="688" spans="1:15" x14ac:dyDescent="0.3">
      <c r="A688" t="s">
        <v>1435</v>
      </c>
      <c r="B688" t="s">
        <v>200</v>
      </c>
      <c r="C688" t="s">
        <v>1436</v>
      </c>
      <c r="D688" t="s">
        <v>75</v>
      </c>
      <c r="E688" t="s">
        <v>578</v>
      </c>
      <c r="F688" t="s">
        <v>394</v>
      </c>
      <c r="G688" t="s">
        <v>6</v>
      </c>
      <c r="H688">
        <v>2.8</v>
      </c>
      <c r="I688">
        <v>7</v>
      </c>
      <c r="J688">
        <v>100</v>
      </c>
      <c r="K688" t="s">
        <v>102</v>
      </c>
      <c r="L688" t="s">
        <v>64</v>
      </c>
      <c r="M688" t="s">
        <v>44</v>
      </c>
      <c r="N688">
        <v>4.5</v>
      </c>
      <c r="O688">
        <v>4.9000000000000004</v>
      </c>
    </row>
    <row r="689" spans="1:15" x14ac:dyDescent="0.3">
      <c r="A689" t="s">
        <v>1437</v>
      </c>
      <c r="B689" t="s">
        <v>249</v>
      </c>
      <c r="C689" t="s">
        <v>298</v>
      </c>
      <c r="D689" t="s">
        <v>61</v>
      </c>
      <c r="E689" t="s">
        <v>328</v>
      </c>
      <c r="F689" t="s">
        <v>96</v>
      </c>
      <c r="G689" t="s">
        <v>6</v>
      </c>
      <c r="H689">
        <v>4</v>
      </c>
      <c r="I689">
        <v>15</v>
      </c>
      <c r="J689">
        <v>138</v>
      </c>
      <c r="K689" t="s">
        <v>33</v>
      </c>
      <c r="L689" t="s">
        <v>49</v>
      </c>
      <c r="M689" t="s">
        <v>44</v>
      </c>
      <c r="N689">
        <v>4.8</v>
      </c>
      <c r="O689">
        <v>4.9000000000000004</v>
      </c>
    </row>
    <row r="690" spans="1:15" x14ac:dyDescent="0.3">
      <c r="A690" t="s">
        <v>1438</v>
      </c>
      <c r="B690" t="s">
        <v>340</v>
      </c>
      <c r="C690" t="s">
        <v>1439</v>
      </c>
      <c r="D690" t="s">
        <v>158</v>
      </c>
      <c r="E690" t="s">
        <v>319</v>
      </c>
      <c r="F690" t="s">
        <v>284</v>
      </c>
      <c r="G690" t="s">
        <v>7</v>
      </c>
      <c r="H690">
        <v>10.1</v>
      </c>
      <c r="I690">
        <v>26</v>
      </c>
      <c r="J690">
        <v>307</v>
      </c>
      <c r="K690" t="s">
        <v>56</v>
      </c>
      <c r="L690" t="s">
        <v>34</v>
      </c>
      <c r="M690" t="s">
        <v>35</v>
      </c>
      <c r="N690">
        <v>4.7</v>
      </c>
      <c r="O690">
        <v>4.9000000000000004</v>
      </c>
    </row>
    <row r="691" spans="1:15" x14ac:dyDescent="0.3">
      <c r="A691" t="s">
        <v>1440</v>
      </c>
      <c r="B691" t="s">
        <v>264</v>
      </c>
      <c r="C691" t="s">
        <v>496</v>
      </c>
      <c r="D691" t="s">
        <v>68</v>
      </c>
      <c r="E691" t="s">
        <v>210</v>
      </c>
      <c r="F691" t="s">
        <v>120</v>
      </c>
      <c r="G691" t="s">
        <v>6</v>
      </c>
      <c r="H691">
        <v>15.4</v>
      </c>
      <c r="I691">
        <v>40</v>
      </c>
      <c r="J691">
        <v>333</v>
      </c>
      <c r="K691" t="s">
        <v>33</v>
      </c>
      <c r="L691" t="s">
        <v>64</v>
      </c>
      <c r="M691" t="s">
        <v>44</v>
      </c>
      <c r="N691">
        <v>4.9000000000000004</v>
      </c>
      <c r="O691">
        <v>5</v>
      </c>
    </row>
    <row r="692" spans="1:15" x14ac:dyDescent="0.3">
      <c r="A692" t="s">
        <v>1441</v>
      </c>
      <c r="B692" t="s">
        <v>647</v>
      </c>
      <c r="C692" t="s">
        <v>1442</v>
      </c>
      <c r="D692" t="s">
        <v>68</v>
      </c>
      <c r="E692" t="s">
        <v>120</v>
      </c>
      <c r="F692" t="s">
        <v>195</v>
      </c>
      <c r="G692" t="s">
        <v>6</v>
      </c>
      <c r="H692">
        <v>5.4</v>
      </c>
      <c r="I692">
        <v>17</v>
      </c>
      <c r="J692">
        <v>129</v>
      </c>
      <c r="K692" t="s">
        <v>33</v>
      </c>
      <c r="L692" t="s">
        <v>34</v>
      </c>
      <c r="M692" t="s">
        <v>35</v>
      </c>
      <c r="N692">
        <v>4.9000000000000004</v>
      </c>
      <c r="O692">
        <v>4.5999999999999996</v>
      </c>
    </row>
    <row r="693" spans="1:15" x14ac:dyDescent="0.3">
      <c r="A693" t="s">
        <v>1443</v>
      </c>
      <c r="B693" t="s">
        <v>349</v>
      </c>
      <c r="C693" t="s">
        <v>1444</v>
      </c>
      <c r="D693" t="s">
        <v>61</v>
      </c>
      <c r="E693" t="s">
        <v>191</v>
      </c>
      <c r="F693" t="s">
        <v>96</v>
      </c>
      <c r="G693" t="s">
        <v>4</v>
      </c>
      <c r="H693">
        <v>15.5</v>
      </c>
      <c r="I693">
        <v>38</v>
      </c>
      <c r="J693">
        <v>452</v>
      </c>
      <c r="K693" t="s">
        <v>102</v>
      </c>
      <c r="L693" t="s">
        <v>49</v>
      </c>
      <c r="M693" t="s">
        <v>44</v>
      </c>
      <c r="N693">
        <v>4.7</v>
      </c>
      <c r="O693">
        <v>5</v>
      </c>
    </row>
    <row r="694" spans="1:15" x14ac:dyDescent="0.3">
      <c r="A694" t="s">
        <v>1445</v>
      </c>
      <c r="B694" t="s">
        <v>246</v>
      </c>
      <c r="C694" t="s">
        <v>1446</v>
      </c>
      <c r="D694" t="s">
        <v>39</v>
      </c>
      <c r="E694" t="s">
        <v>484</v>
      </c>
      <c r="F694" t="s">
        <v>48</v>
      </c>
      <c r="G694" t="s">
        <v>2</v>
      </c>
      <c r="H694">
        <v>1.2</v>
      </c>
      <c r="I694">
        <v>8</v>
      </c>
      <c r="J694">
        <v>54</v>
      </c>
      <c r="K694" t="s">
        <v>102</v>
      </c>
      <c r="L694" t="s">
        <v>43</v>
      </c>
      <c r="M694" t="s">
        <v>44</v>
      </c>
      <c r="N694">
        <v>4.5999999999999996</v>
      </c>
      <c r="O694">
        <v>4.7</v>
      </c>
    </row>
    <row r="695" spans="1:15" x14ac:dyDescent="0.3">
      <c r="A695" t="s">
        <v>1447</v>
      </c>
      <c r="B695" t="s">
        <v>808</v>
      </c>
      <c r="C695" t="s">
        <v>1448</v>
      </c>
      <c r="D695" t="s">
        <v>81</v>
      </c>
      <c r="E695" t="s">
        <v>91</v>
      </c>
      <c r="F695" t="s">
        <v>268</v>
      </c>
      <c r="G695" t="s">
        <v>7</v>
      </c>
      <c r="H695">
        <v>8.3000000000000007</v>
      </c>
      <c r="I695">
        <v>22</v>
      </c>
      <c r="J695">
        <v>219</v>
      </c>
      <c r="K695" t="s">
        <v>102</v>
      </c>
      <c r="L695" t="s">
        <v>78</v>
      </c>
      <c r="M695" t="s">
        <v>44</v>
      </c>
      <c r="N695">
        <v>4.4000000000000004</v>
      </c>
      <c r="O695">
        <v>4.5999999999999996</v>
      </c>
    </row>
    <row r="696" spans="1:15" x14ac:dyDescent="0.3">
      <c r="A696" t="s">
        <v>1449</v>
      </c>
      <c r="B696" t="s">
        <v>51</v>
      </c>
      <c r="C696" t="s">
        <v>1450</v>
      </c>
      <c r="D696" t="s">
        <v>106</v>
      </c>
      <c r="E696" t="s">
        <v>472</v>
      </c>
      <c r="F696" t="s">
        <v>443</v>
      </c>
      <c r="G696" t="s">
        <v>4</v>
      </c>
      <c r="H696">
        <v>2.2000000000000002</v>
      </c>
      <c r="I696">
        <v>5</v>
      </c>
      <c r="J696">
        <v>128</v>
      </c>
      <c r="K696" t="s">
        <v>42</v>
      </c>
      <c r="L696" t="s">
        <v>43</v>
      </c>
      <c r="M696" t="s">
        <v>44</v>
      </c>
      <c r="N696">
        <v>4.7</v>
      </c>
      <c r="O696">
        <v>4.7</v>
      </c>
    </row>
    <row r="697" spans="1:15" x14ac:dyDescent="0.3">
      <c r="A697" t="s">
        <v>1451</v>
      </c>
      <c r="B697" t="s">
        <v>46</v>
      </c>
      <c r="C697" t="s">
        <v>815</v>
      </c>
      <c r="D697" t="s">
        <v>158</v>
      </c>
      <c r="E697" t="s">
        <v>319</v>
      </c>
      <c r="F697" t="s">
        <v>262</v>
      </c>
      <c r="G697" t="s">
        <v>3</v>
      </c>
      <c r="H697">
        <v>7.8</v>
      </c>
      <c r="I697">
        <v>35</v>
      </c>
      <c r="J697">
        <v>405</v>
      </c>
      <c r="K697" t="s">
        <v>56</v>
      </c>
      <c r="L697" t="s">
        <v>78</v>
      </c>
      <c r="M697" t="s">
        <v>44</v>
      </c>
      <c r="N697">
        <v>4.9000000000000004</v>
      </c>
      <c r="O697">
        <v>4.8</v>
      </c>
    </row>
    <row r="698" spans="1:15" x14ac:dyDescent="0.3">
      <c r="A698" t="s">
        <v>1452</v>
      </c>
      <c r="B698" t="s">
        <v>228</v>
      </c>
      <c r="C698" t="s">
        <v>1453</v>
      </c>
      <c r="D698" t="s">
        <v>75</v>
      </c>
      <c r="E698" t="s">
        <v>230</v>
      </c>
      <c r="F698" t="s">
        <v>394</v>
      </c>
      <c r="G698" t="s">
        <v>5</v>
      </c>
      <c r="H698">
        <v>5.3</v>
      </c>
      <c r="I698">
        <v>12</v>
      </c>
      <c r="J698">
        <v>209</v>
      </c>
      <c r="K698" t="s">
        <v>33</v>
      </c>
      <c r="L698" t="s">
        <v>71</v>
      </c>
      <c r="M698" t="s">
        <v>44</v>
      </c>
      <c r="N698">
        <v>4.8</v>
      </c>
      <c r="O698">
        <v>5</v>
      </c>
    </row>
    <row r="699" spans="1:15" x14ac:dyDescent="0.3">
      <c r="A699" t="s">
        <v>1454</v>
      </c>
      <c r="B699" t="s">
        <v>152</v>
      </c>
      <c r="C699" t="s">
        <v>318</v>
      </c>
      <c r="D699" t="s">
        <v>30</v>
      </c>
      <c r="E699" t="s">
        <v>31</v>
      </c>
      <c r="F699" t="s">
        <v>100</v>
      </c>
      <c r="G699" t="s">
        <v>6</v>
      </c>
      <c r="H699">
        <v>3.1</v>
      </c>
      <c r="I699">
        <v>9</v>
      </c>
      <c r="J699">
        <v>141</v>
      </c>
      <c r="K699" t="s">
        <v>42</v>
      </c>
      <c r="L699" t="s">
        <v>43</v>
      </c>
      <c r="M699" t="s">
        <v>44</v>
      </c>
      <c r="N699">
        <v>5</v>
      </c>
      <c r="O699">
        <v>4.5</v>
      </c>
    </row>
    <row r="700" spans="1:15" x14ac:dyDescent="0.3">
      <c r="A700" t="s">
        <v>1455</v>
      </c>
      <c r="B700" t="s">
        <v>170</v>
      </c>
      <c r="C700" t="s">
        <v>1081</v>
      </c>
      <c r="D700" t="s">
        <v>39</v>
      </c>
      <c r="E700" t="s">
        <v>278</v>
      </c>
      <c r="F700" t="s">
        <v>41</v>
      </c>
      <c r="G700" t="s">
        <v>7</v>
      </c>
      <c r="H700">
        <v>2.1</v>
      </c>
      <c r="I700">
        <v>7</v>
      </c>
      <c r="J700">
        <v>158</v>
      </c>
      <c r="K700" t="s">
        <v>33</v>
      </c>
      <c r="L700" t="s">
        <v>71</v>
      </c>
      <c r="M700" t="s">
        <v>44</v>
      </c>
      <c r="N700">
        <v>4.5999999999999996</v>
      </c>
      <c r="O700">
        <v>5</v>
      </c>
    </row>
    <row r="701" spans="1:15" x14ac:dyDescent="0.3">
      <c r="A701" t="s">
        <v>1456</v>
      </c>
      <c r="B701" t="s">
        <v>545</v>
      </c>
      <c r="C701" t="s">
        <v>1457</v>
      </c>
      <c r="D701" t="s">
        <v>158</v>
      </c>
      <c r="E701" t="s">
        <v>284</v>
      </c>
      <c r="F701" t="s">
        <v>316</v>
      </c>
      <c r="G701" t="s">
        <v>2</v>
      </c>
      <c r="H701">
        <v>7.2</v>
      </c>
      <c r="I701">
        <v>15</v>
      </c>
      <c r="J701">
        <v>109</v>
      </c>
      <c r="K701" t="s">
        <v>42</v>
      </c>
      <c r="L701" t="s">
        <v>43</v>
      </c>
      <c r="M701" t="s">
        <v>44</v>
      </c>
      <c r="N701">
        <v>5</v>
      </c>
      <c r="O701">
        <v>4.8</v>
      </c>
    </row>
    <row r="702" spans="1:15" x14ac:dyDescent="0.3">
      <c r="A702" t="s">
        <v>1458</v>
      </c>
      <c r="B702" t="s">
        <v>468</v>
      </c>
      <c r="C702" t="s">
        <v>1459</v>
      </c>
      <c r="D702" t="s">
        <v>61</v>
      </c>
      <c r="E702" t="s">
        <v>191</v>
      </c>
      <c r="F702" t="s">
        <v>96</v>
      </c>
      <c r="G702" t="s">
        <v>4</v>
      </c>
      <c r="H702">
        <v>8.5</v>
      </c>
      <c r="I702">
        <v>28</v>
      </c>
      <c r="J702">
        <v>268</v>
      </c>
      <c r="K702" t="s">
        <v>42</v>
      </c>
      <c r="L702" t="s">
        <v>34</v>
      </c>
      <c r="M702" t="s">
        <v>35</v>
      </c>
      <c r="N702">
        <v>4.8</v>
      </c>
      <c r="O702">
        <v>4.7</v>
      </c>
    </row>
    <row r="703" spans="1:15" x14ac:dyDescent="0.3">
      <c r="A703" t="s">
        <v>1460</v>
      </c>
      <c r="B703" t="s">
        <v>93</v>
      </c>
      <c r="C703" t="s">
        <v>366</v>
      </c>
      <c r="D703" t="s">
        <v>106</v>
      </c>
      <c r="E703" t="s">
        <v>187</v>
      </c>
      <c r="F703" t="s">
        <v>443</v>
      </c>
      <c r="G703" t="s">
        <v>3</v>
      </c>
      <c r="H703">
        <v>8.1999999999999993</v>
      </c>
      <c r="I703">
        <v>21</v>
      </c>
      <c r="J703">
        <v>392</v>
      </c>
      <c r="K703" t="s">
        <v>102</v>
      </c>
      <c r="L703" t="s">
        <v>49</v>
      </c>
      <c r="M703" t="s">
        <v>44</v>
      </c>
      <c r="N703">
        <v>4.8</v>
      </c>
      <c r="O703">
        <v>4.9000000000000004</v>
      </c>
    </row>
    <row r="704" spans="1:15" x14ac:dyDescent="0.3">
      <c r="A704" t="s">
        <v>1461</v>
      </c>
      <c r="B704" t="s">
        <v>853</v>
      </c>
      <c r="C704" t="s">
        <v>613</v>
      </c>
      <c r="D704" t="s">
        <v>75</v>
      </c>
      <c r="E704" t="s">
        <v>239</v>
      </c>
      <c r="F704" t="s">
        <v>394</v>
      </c>
      <c r="G704" t="s">
        <v>2</v>
      </c>
      <c r="H704">
        <v>7.4</v>
      </c>
      <c r="I704">
        <v>14</v>
      </c>
      <c r="J704">
        <v>123</v>
      </c>
      <c r="K704" t="s">
        <v>56</v>
      </c>
      <c r="L704" t="s">
        <v>64</v>
      </c>
      <c r="M704" t="s">
        <v>44</v>
      </c>
      <c r="N704">
        <v>5</v>
      </c>
      <c r="O704">
        <v>5</v>
      </c>
    </row>
    <row r="705" spans="1:15" x14ac:dyDescent="0.3">
      <c r="A705" t="s">
        <v>1462</v>
      </c>
      <c r="B705" t="s">
        <v>177</v>
      </c>
      <c r="C705" t="s">
        <v>534</v>
      </c>
      <c r="D705" t="s">
        <v>39</v>
      </c>
      <c r="E705" t="s">
        <v>155</v>
      </c>
      <c r="F705" t="s">
        <v>278</v>
      </c>
      <c r="G705" t="s">
        <v>6</v>
      </c>
      <c r="H705">
        <v>7</v>
      </c>
      <c r="I705">
        <v>22</v>
      </c>
      <c r="J705">
        <v>155</v>
      </c>
      <c r="K705" t="s">
        <v>33</v>
      </c>
      <c r="L705" t="s">
        <v>49</v>
      </c>
      <c r="M705" t="s">
        <v>44</v>
      </c>
      <c r="N705">
        <v>4.5</v>
      </c>
      <c r="O705">
        <v>4.2</v>
      </c>
    </row>
    <row r="706" spans="1:15" x14ac:dyDescent="0.3">
      <c r="A706" t="s">
        <v>1463</v>
      </c>
      <c r="B706" t="s">
        <v>552</v>
      </c>
      <c r="C706" t="s">
        <v>1464</v>
      </c>
      <c r="D706" t="s">
        <v>106</v>
      </c>
      <c r="E706" t="s">
        <v>472</v>
      </c>
      <c r="F706" t="s">
        <v>107</v>
      </c>
      <c r="G706" t="s">
        <v>6</v>
      </c>
      <c r="H706">
        <v>3.2</v>
      </c>
      <c r="I706">
        <v>8</v>
      </c>
      <c r="J706">
        <v>132</v>
      </c>
      <c r="K706" t="s">
        <v>42</v>
      </c>
      <c r="L706" t="s">
        <v>43</v>
      </c>
      <c r="M706" t="s">
        <v>44</v>
      </c>
      <c r="N706">
        <v>4.3</v>
      </c>
      <c r="O706">
        <v>4.9000000000000004</v>
      </c>
    </row>
    <row r="707" spans="1:15" x14ac:dyDescent="0.3">
      <c r="A707" t="s">
        <v>1465</v>
      </c>
      <c r="B707" t="s">
        <v>243</v>
      </c>
      <c r="C707" t="s">
        <v>432</v>
      </c>
      <c r="D707" t="s">
        <v>61</v>
      </c>
      <c r="E707" t="s">
        <v>183</v>
      </c>
      <c r="F707" t="s">
        <v>63</v>
      </c>
      <c r="G707" t="s">
        <v>2</v>
      </c>
      <c r="H707">
        <v>1.8</v>
      </c>
      <c r="I707">
        <v>14</v>
      </c>
      <c r="J707">
        <v>94</v>
      </c>
      <c r="K707" t="s">
        <v>33</v>
      </c>
      <c r="L707" t="s">
        <v>49</v>
      </c>
      <c r="M707" t="s">
        <v>44</v>
      </c>
      <c r="N707">
        <v>5</v>
      </c>
      <c r="O707">
        <v>5</v>
      </c>
    </row>
    <row r="708" spans="1:15" x14ac:dyDescent="0.3">
      <c r="A708" t="s">
        <v>1466</v>
      </c>
      <c r="B708" t="s">
        <v>122</v>
      </c>
      <c r="C708" t="s">
        <v>489</v>
      </c>
      <c r="D708" t="s">
        <v>68</v>
      </c>
      <c r="E708" t="s">
        <v>69</v>
      </c>
      <c r="F708" t="s">
        <v>210</v>
      </c>
      <c r="G708" t="s">
        <v>6</v>
      </c>
      <c r="H708">
        <v>5.5</v>
      </c>
      <c r="I708">
        <v>17</v>
      </c>
      <c r="J708">
        <v>162</v>
      </c>
      <c r="K708" t="s">
        <v>42</v>
      </c>
      <c r="L708" t="s">
        <v>71</v>
      </c>
      <c r="M708" t="s">
        <v>44</v>
      </c>
      <c r="N708">
        <v>5</v>
      </c>
      <c r="O708">
        <v>4.5999999999999996</v>
      </c>
    </row>
    <row r="709" spans="1:15" x14ac:dyDescent="0.3">
      <c r="A709" t="s">
        <v>1467</v>
      </c>
      <c r="B709" t="s">
        <v>400</v>
      </c>
      <c r="C709" t="s">
        <v>751</v>
      </c>
      <c r="D709" t="s">
        <v>39</v>
      </c>
      <c r="E709" t="s">
        <v>484</v>
      </c>
      <c r="F709" t="s">
        <v>155</v>
      </c>
      <c r="G709" t="s">
        <v>4</v>
      </c>
      <c r="H709">
        <v>2.7</v>
      </c>
      <c r="I709">
        <v>9</v>
      </c>
      <c r="J709">
        <v>127</v>
      </c>
      <c r="K709" t="s">
        <v>33</v>
      </c>
      <c r="L709" t="s">
        <v>161</v>
      </c>
      <c r="M709" t="s">
        <v>35</v>
      </c>
      <c r="N709">
        <v>4.5</v>
      </c>
      <c r="O709">
        <v>5</v>
      </c>
    </row>
    <row r="710" spans="1:15" x14ac:dyDescent="0.3">
      <c r="A710" t="s">
        <v>1468</v>
      </c>
      <c r="B710" t="s">
        <v>684</v>
      </c>
      <c r="C710" t="s">
        <v>1469</v>
      </c>
      <c r="D710" t="s">
        <v>53</v>
      </c>
      <c r="E710" t="s">
        <v>405</v>
      </c>
      <c r="F710" t="s">
        <v>515</v>
      </c>
      <c r="G710" t="s">
        <v>2</v>
      </c>
      <c r="H710">
        <v>5.4</v>
      </c>
      <c r="I710">
        <v>14</v>
      </c>
      <c r="J710">
        <v>99</v>
      </c>
      <c r="K710" t="s">
        <v>42</v>
      </c>
      <c r="L710" t="s">
        <v>78</v>
      </c>
      <c r="M710" t="s">
        <v>44</v>
      </c>
      <c r="N710">
        <v>5</v>
      </c>
      <c r="O710">
        <v>4.8</v>
      </c>
    </row>
    <row r="711" spans="1:15" x14ac:dyDescent="0.3">
      <c r="A711" t="s">
        <v>1470</v>
      </c>
      <c r="B711" t="s">
        <v>552</v>
      </c>
      <c r="C711" t="s">
        <v>29</v>
      </c>
      <c r="D711" t="s">
        <v>68</v>
      </c>
      <c r="E711" t="s">
        <v>69</v>
      </c>
      <c r="F711" t="s">
        <v>195</v>
      </c>
      <c r="G711" t="s">
        <v>5</v>
      </c>
      <c r="H711">
        <v>18.8</v>
      </c>
      <c r="I711">
        <v>51</v>
      </c>
      <c r="J711">
        <v>452</v>
      </c>
      <c r="K711" t="s">
        <v>33</v>
      </c>
      <c r="L711" t="s">
        <v>34</v>
      </c>
      <c r="M711" t="s">
        <v>35</v>
      </c>
      <c r="N711">
        <v>4.5999999999999996</v>
      </c>
      <c r="O711">
        <v>4.9000000000000004</v>
      </c>
    </row>
    <row r="712" spans="1:15" x14ac:dyDescent="0.3">
      <c r="A712" t="s">
        <v>1471</v>
      </c>
      <c r="B712" t="s">
        <v>276</v>
      </c>
      <c r="C712" t="s">
        <v>691</v>
      </c>
      <c r="D712" t="s">
        <v>61</v>
      </c>
      <c r="E712" t="s">
        <v>96</v>
      </c>
      <c r="F712" t="s">
        <v>62</v>
      </c>
      <c r="G712" t="s">
        <v>7</v>
      </c>
      <c r="H712">
        <v>6.6</v>
      </c>
      <c r="I712">
        <v>8</v>
      </c>
      <c r="J712">
        <v>234</v>
      </c>
      <c r="K712" t="s">
        <v>192</v>
      </c>
      <c r="L712" t="s">
        <v>43</v>
      </c>
      <c r="M712" t="s">
        <v>44</v>
      </c>
      <c r="N712">
        <v>5</v>
      </c>
      <c r="O712">
        <v>4.2</v>
      </c>
    </row>
    <row r="713" spans="1:15" x14ac:dyDescent="0.3">
      <c r="A713" t="s">
        <v>1472</v>
      </c>
      <c r="B713" t="s">
        <v>330</v>
      </c>
      <c r="C713" t="s">
        <v>1473</v>
      </c>
      <c r="D713" t="s">
        <v>39</v>
      </c>
      <c r="E713" t="s">
        <v>154</v>
      </c>
      <c r="F713" t="s">
        <v>356</v>
      </c>
      <c r="G713" t="s">
        <v>4</v>
      </c>
      <c r="H713">
        <v>5.7</v>
      </c>
      <c r="I713">
        <v>13</v>
      </c>
      <c r="J713">
        <v>171</v>
      </c>
      <c r="K713" t="s">
        <v>33</v>
      </c>
      <c r="L713" t="s">
        <v>49</v>
      </c>
      <c r="M713" t="s">
        <v>44</v>
      </c>
      <c r="N713">
        <v>4.3</v>
      </c>
      <c r="O713">
        <v>5</v>
      </c>
    </row>
    <row r="714" spans="1:15" x14ac:dyDescent="0.3">
      <c r="A714" t="s">
        <v>1474</v>
      </c>
      <c r="B714" t="s">
        <v>98</v>
      </c>
      <c r="C714" t="s">
        <v>1197</v>
      </c>
      <c r="D714" t="s">
        <v>81</v>
      </c>
      <c r="E714" t="s">
        <v>91</v>
      </c>
      <c r="F714" t="s">
        <v>82</v>
      </c>
      <c r="G714" t="s">
        <v>2</v>
      </c>
      <c r="H714">
        <v>7.9</v>
      </c>
      <c r="I714">
        <v>27</v>
      </c>
      <c r="J714">
        <v>114</v>
      </c>
      <c r="K714" t="s">
        <v>56</v>
      </c>
      <c r="L714" t="s">
        <v>49</v>
      </c>
      <c r="M714" t="s">
        <v>44</v>
      </c>
      <c r="N714">
        <v>4.9000000000000004</v>
      </c>
      <c r="O714">
        <v>5</v>
      </c>
    </row>
    <row r="715" spans="1:15" x14ac:dyDescent="0.3">
      <c r="A715" t="s">
        <v>1475</v>
      </c>
      <c r="B715" t="s">
        <v>243</v>
      </c>
      <c r="C715" t="s">
        <v>459</v>
      </c>
      <c r="D715" t="s">
        <v>106</v>
      </c>
      <c r="E715" t="s">
        <v>107</v>
      </c>
      <c r="F715" t="s">
        <v>126</v>
      </c>
      <c r="G715" t="s">
        <v>6</v>
      </c>
      <c r="H715">
        <v>1.5</v>
      </c>
      <c r="I715">
        <v>10</v>
      </c>
      <c r="J715">
        <v>75</v>
      </c>
      <c r="K715" t="s">
        <v>42</v>
      </c>
      <c r="L715" t="s">
        <v>64</v>
      </c>
      <c r="M715" t="s">
        <v>44</v>
      </c>
      <c r="N715">
        <v>5</v>
      </c>
      <c r="O715">
        <v>4.5999999999999996</v>
      </c>
    </row>
    <row r="716" spans="1:15" x14ac:dyDescent="0.3">
      <c r="A716" t="s">
        <v>1476</v>
      </c>
      <c r="B716" t="s">
        <v>586</v>
      </c>
      <c r="C716" t="s">
        <v>1477</v>
      </c>
      <c r="D716" t="s">
        <v>61</v>
      </c>
      <c r="E716" t="s">
        <v>62</v>
      </c>
      <c r="F716" t="s">
        <v>328</v>
      </c>
      <c r="G716" t="s">
        <v>2</v>
      </c>
      <c r="H716">
        <v>1.2</v>
      </c>
      <c r="I716">
        <v>5</v>
      </c>
      <c r="J716">
        <v>54</v>
      </c>
      <c r="K716" t="s">
        <v>102</v>
      </c>
      <c r="L716" t="s">
        <v>78</v>
      </c>
      <c r="M716" t="s">
        <v>44</v>
      </c>
      <c r="N716">
        <v>4.7</v>
      </c>
      <c r="O716">
        <v>5</v>
      </c>
    </row>
    <row r="717" spans="1:15" x14ac:dyDescent="0.3">
      <c r="A717" t="s">
        <v>1478</v>
      </c>
      <c r="B717" t="s">
        <v>270</v>
      </c>
      <c r="C717" t="s">
        <v>546</v>
      </c>
      <c r="D717" t="s">
        <v>75</v>
      </c>
      <c r="E717" t="s">
        <v>578</v>
      </c>
      <c r="F717" t="s">
        <v>77</v>
      </c>
      <c r="G717" t="s">
        <v>6</v>
      </c>
      <c r="H717">
        <v>15.3</v>
      </c>
      <c r="I717">
        <v>41</v>
      </c>
      <c r="J717">
        <v>313</v>
      </c>
      <c r="K717" t="s">
        <v>56</v>
      </c>
      <c r="L717" t="s">
        <v>64</v>
      </c>
      <c r="M717" t="s">
        <v>44</v>
      </c>
      <c r="N717">
        <v>5</v>
      </c>
      <c r="O717">
        <v>4.5</v>
      </c>
    </row>
    <row r="718" spans="1:15" x14ac:dyDescent="0.3">
      <c r="A718" t="s">
        <v>1479</v>
      </c>
      <c r="B718" t="s">
        <v>441</v>
      </c>
      <c r="C718" t="s">
        <v>1480</v>
      </c>
      <c r="D718" t="s">
        <v>53</v>
      </c>
      <c r="E718" t="s">
        <v>221</v>
      </c>
      <c r="F718" t="s">
        <v>55</v>
      </c>
      <c r="G718" t="s">
        <v>6</v>
      </c>
      <c r="H718">
        <v>5.9</v>
      </c>
      <c r="I718">
        <v>12</v>
      </c>
      <c r="J718">
        <v>212</v>
      </c>
      <c r="K718" t="s">
        <v>33</v>
      </c>
      <c r="L718" t="s">
        <v>71</v>
      </c>
      <c r="M718" t="s">
        <v>44</v>
      </c>
      <c r="N718">
        <v>4.3</v>
      </c>
      <c r="O718">
        <v>4.7</v>
      </c>
    </row>
    <row r="719" spans="1:15" x14ac:dyDescent="0.3">
      <c r="A719" t="s">
        <v>1481</v>
      </c>
      <c r="B719" t="s">
        <v>249</v>
      </c>
      <c r="C719" t="s">
        <v>1482</v>
      </c>
      <c r="D719" t="s">
        <v>75</v>
      </c>
      <c r="E719" t="s">
        <v>239</v>
      </c>
      <c r="F719" t="s">
        <v>146</v>
      </c>
      <c r="G719" t="s">
        <v>2</v>
      </c>
      <c r="H719">
        <v>1.3</v>
      </c>
      <c r="I719">
        <v>5</v>
      </c>
      <c r="J719">
        <v>40</v>
      </c>
      <c r="K719" t="s">
        <v>33</v>
      </c>
      <c r="L719" t="s">
        <v>49</v>
      </c>
      <c r="M719" t="s">
        <v>44</v>
      </c>
      <c r="N719">
        <v>4.4000000000000004</v>
      </c>
      <c r="O719">
        <v>4.7</v>
      </c>
    </row>
    <row r="720" spans="1:15" x14ac:dyDescent="0.3">
      <c r="A720" t="s">
        <v>1483</v>
      </c>
      <c r="B720" t="s">
        <v>28</v>
      </c>
      <c r="C720" t="s">
        <v>1055</v>
      </c>
      <c r="D720" t="s">
        <v>61</v>
      </c>
      <c r="E720" t="s">
        <v>191</v>
      </c>
      <c r="F720" t="s">
        <v>328</v>
      </c>
      <c r="G720" t="s">
        <v>2</v>
      </c>
      <c r="H720">
        <v>4.5999999999999996</v>
      </c>
      <c r="I720">
        <v>10</v>
      </c>
      <c r="J720">
        <v>125</v>
      </c>
      <c r="K720" t="s">
        <v>56</v>
      </c>
      <c r="L720" t="s">
        <v>71</v>
      </c>
      <c r="M720" t="s">
        <v>44</v>
      </c>
      <c r="N720">
        <v>4.5</v>
      </c>
      <c r="O720">
        <v>4.5999999999999996</v>
      </c>
    </row>
    <row r="721" spans="1:15" x14ac:dyDescent="0.3">
      <c r="A721" t="s">
        <v>1484</v>
      </c>
      <c r="B721" t="s">
        <v>531</v>
      </c>
      <c r="C721" t="s">
        <v>379</v>
      </c>
      <c r="D721" t="s">
        <v>61</v>
      </c>
      <c r="E721" t="s">
        <v>328</v>
      </c>
      <c r="F721" t="s">
        <v>191</v>
      </c>
      <c r="G721" t="s">
        <v>3</v>
      </c>
      <c r="H721">
        <v>11.3</v>
      </c>
      <c r="I721">
        <v>20</v>
      </c>
      <c r="J721">
        <v>505</v>
      </c>
      <c r="K721" t="s">
        <v>42</v>
      </c>
      <c r="L721" t="s">
        <v>34</v>
      </c>
      <c r="M721" t="s">
        <v>35</v>
      </c>
      <c r="N721">
        <v>4.7</v>
      </c>
      <c r="O721">
        <v>4.7</v>
      </c>
    </row>
    <row r="722" spans="1:15" x14ac:dyDescent="0.3">
      <c r="A722" t="s">
        <v>1485</v>
      </c>
      <c r="B722" t="s">
        <v>93</v>
      </c>
      <c r="C722" t="s">
        <v>587</v>
      </c>
      <c r="D722" t="s">
        <v>30</v>
      </c>
      <c r="E722" t="s">
        <v>101</v>
      </c>
      <c r="F722" t="s">
        <v>32</v>
      </c>
      <c r="G722" t="s">
        <v>7</v>
      </c>
      <c r="H722">
        <v>2.6</v>
      </c>
      <c r="I722">
        <v>10</v>
      </c>
      <c r="J722">
        <v>160</v>
      </c>
      <c r="K722" t="s">
        <v>102</v>
      </c>
      <c r="L722" t="s">
        <v>43</v>
      </c>
      <c r="M722" t="s">
        <v>44</v>
      </c>
      <c r="N722">
        <v>4.5</v>
      </c>
      <c r="O722">
        <v>4.7</v>
      </c>
    </row>
    <row r="723" spans="1:15" x14ac:dyDescent="0.3">
      <c r="A723" t="s">
        <v>1486</v>
      </c>
      <c r="B723" t="s">
        <v>218</v>
      </c>
      <c r="C723" t="s">
        <v>1317</v>
      </c>
      <c r="D723" t="s">
        <v>81</v>
      </c>
      <c r="E723" t="s">
        <v>83</v>
      </c>
      <c r="F723" t="s">
        <v>351</v>
      </c>
      <c r="G723" t="s">
        <v>2</v>
      </c>
      <c r="H723">
        <v>4</v>
      </c>
      <c r="I723">
        <v>12</v>
      </c>
      <c r="J723">
        <v>120</v>
      </c>
      <c r="K723" t="s">
        <v>33</v>
      </c>
      <c r="L723" t="s">
        <v>43</v>
      </c>
      <c r="M723" t="s">
        <v>44</v>
      </c>
      <c r="N723">
        <v>4.5</v>
      </c>
      <c r="O723">
        <v>4.5999999999999996</v>
      </c>
    </row>
    <row r="724" spans="1:15" x14ac:dyDescent="0.3">
      <c r="A724" t="s">
        <v>1487</v>
      </c>
      <c r="B724" t="s">
        <v>400</v>
      </c>
      <c r="C724" t="s">
        <v>1488</v>
      </c>
      <c r="D724" t="s">
        <v>39</v>
      </c>
      <c r="E724" t="s">
        <v>278</v>
      </c>
      <c r="F724" t="s">
        <v>40</v>
      </c>
      <c r="G724" t="s">
        <v>6</v>
      </c>
      <c r="H724">
        <v>10.1</v>
      </c>
      <c r="I724">
        <v>29</v>
      </c>
      <c r="J724">
        <v>274</v>
      </c>
      <c r="K724" t="s">
        <v>33</v>
      </c>
      <c r="L724" t="s">
        <v>64</v>
      </c>
      <c r="M724" t="s">
        <v>44</v>
      </c>
      <c r="N724">
        <v>4.8</v>
      </c>
      <c r="O724">
        <v>5</v>
      </c>
    </row>
    <row r="725" spans="1:15" x14ac:dyDescent="0.3">
      <c r="A725" t="s">
        <v>1489</v>
      </c>
      <c r="B725" t="s">
        <v>200</v>
      </c>
      <c r="C725" t="s">
        <v>1490</v>
      </c>
      <c r="D725" t="s">
        <v>39</v>
      </c>
      <c r="E725" t="s">
        <v>278</v>
      </c>
      <c r="F725" t="s">
        <v>41</v>
      </c>
      <c r="G725" t="s">
        <v>4</v>
      </c>
      <c r="H725">
        <v>3.2</v>
      </c>
      <c r="I725">
        <v>6</v>
      </c>
      <c r="J725">
        <v>151</v>
      </c>
      <c r="K725" t="s">
        <v>33</v>
      </c>
      <c r="L725" t="s">
        <v>78</v>
      </c>
      <c r="M725" t="s">
        <v>44</v>
      </c>
      <c r="N725">
        <v>4.9000000000000004</v>
      </c>
      <c r="O725">
        <v>4.8</v>
      </c>
    </row>
    <row r="726" spans="1:15" x14ac:dyDescent="0.3">
      <c r="A726" t="s">
        <v>1491</v>
      </c>
      <c r="B726" t="s">
        <v>177</v>
      </c>
      <c r="C726" t="s">
        <v>1492</v>
      </c>
      <c r="D726" t="s">
        <v>81</v>
      </c>
      <c r="E726" t="s">
        <v>134</v>
      </c>
      <c r="F726" t="s">
        <v>351</v>
      </c>
      <c r="G726" t="s">
        <v>6</v>
      </c>
      <c r="H726">
        <v>7.6</v>
      </c>
      <c r="I726">
        <v>27</v>
      </c>
      <c r="J726">
        <v>216</v>
      </c>
      <c r="K726" t="s">
        <v>33</v>
      </c>
      <c r="L726" t="s">
        <v>43</v>
      </c>
      <c r="M726" t="s">
        <v>44</v>
      </c>
      <c r="N726">
        <v>4.5999999999999996</v>
      </c>
      <c r="O726">
        <v>4.8</v>
      </c>
    </row>
    <row r="727" spans="1:15" x14ac:dyDescent="0.3">
      <c r="A727" t="s">
        <v>1493</v>
      </c>
      <c r="B727" t="s">
        <v>140</v>
      </c>
      <c r="C727" t="s">
        <v>747</v>
      </c>
      <c r="D727" t="s">
        <v>75</v>
      </c>
      <c r="E727" t="s">
        <v>239</v>
      </c>
      <c r="F727" t="s">
        <v>77</v>
      </c>
      <c r="G727" t="s">
        <v>6</v>
      </c>
      <c r="H727">
        <v>9.1</v>
      </c>
      <c r="I727">
        <v>29</v>
      </c>
      <c r="J727">
        <v>219</v>
      </c>
      <c r="K727" t="s">
        <v>42</v>
      </c>
      <c r="L727" t="s">
        <v>49</v>
      </c>
      <c r="M727" t="s">
        <v>44</v>
      </c>
      <c r="N727">
        <v>4.9000000000000004</v>
      </c>
      <c r="O727">
        <v>4.5999999999999996</v>
      </c>
    </row>
    <row r="728" spans="1:15" x14ac:dyDescent="0.3">
      <c r="A728" t="s">
        <v>1494</v>
      </c>
      <c r="B728" t="s">
        <v>410</v>
      </c>
      <c r="C728" t="s">
        <v>1263</v>
      </c>
      <c r="D728" t="s">
        <v>30</v>
      </c>
      <c r="E728" t="s">
        <v>32</v>
      </c>
      <c r="F728" t="s">
        <v>138</v>
      </c>
      <c r="G728" t="s">
        <v>2</v>
      </c>
      <c r="H728">
        <v>1</v>
      </c>
      <c r="I728">
        <v>5</v>
      </c>
      <c r="J728">
        <v>58</v>
      </c>
      <c r="K728" t="s">
        <v>33</v>
      </c>
      <c r="L728" t="s">
        <v>64</v>
      </c>
      <c r="M728" t="s">
        <v>44</v>
      </c>
      <c r="N728">
        <v>4.5</v>
      </c>
      <c r="O728">
        <v>4.8</v>
      </c>
    </row>
    <row r="729" spans="1:15" x14ac:dyDescent="0.3">
      <c r="A729" t="s">
        <v>1495</v>
      </c>
      <c r="B729" t="s">
        <v>476</v>
      </c>
      <c r="C729" t="s">
        <v>671</v>
      </c>
      <c r="D729" t="s">
        <v>30</v>
      </c>
      <c r="E729" t="s">
        <v>179</v>
      </c>
      <c r="F729" t="s">
        <v>100</v>
      </c>
      <c r="G729" t="s">
        <v>4</v>
      </c>
      <c r="H729">
        <v>19.5</v>
      </c>
      <c r="I729">
        <v>70</v>
      </c>
      <c r="J729">
        <v>730</v>
      </c>
      <c r="K729" t="s">
        <v>33</v>
      </c>
      <c r="L729" t="s">
        <v>64</v>
      </c>
      <c r="M729" t="s">
        <v>44</v>
      </c>
      <c r="N729">
        <v>4.8</v>
      </c>
      <c r="O729">
        <v>4.8</v>
      </c>
    </row>
    <row r="730" spans="1:15" x14ac:dyDescent="0.3">
      <c r="A730" t="s">
        <v>1496</v>
      </c>
      <c r="B730" t="s">
        <v>166</v>
      </c>
      <c r="C730" t="s">
        <v>1497</v>
      </c>
      <c r="D730" t="s">
        <v>158</v>
      </c>
      <c r="E730" t="s">
        <v>160</v>
      </c>
      <c r="F730" t="s">
        <v>316</v>
      </c>
      <c r="G730" t="s">
        <v>4</v>
      </c>
      <c r="H730">
        <v>5.6</v>
      </c>
      <c r="I730">
        <v>20</v>
      </c>
      <c r="J730">
        <v>173</v>
      </c>
      <c r="K730" t="s">
        <v>102</v>
      </c>
      <c r="L730" t="s">
        <v>49</v>
      </c>
      <c r="M730" t="s">
        <v>44</v>
      </c>
      <c r="N730">
        <v>4.4000000000000004</v>
      </c>
      <c r="O730">
        <v>5</v>
      </c>
    </row>
    <row r="731" spans="1:15" x14ac:dyDescent="0.3">
      <c r="A731" t="s">
        <v>1498</v>
      </c>
      <c r="B731" t="s">
        <v>128</v>
      </c>
      <c r="C731" t="s">
        <v>621</v>
      </c>
      <c r="D731" t="s">
        <v>75</v>
      </c>
      <c r="E731" t="s">
        <v>77</v>
      </c>
      <c r="F731" t="s">
        <v>146</v>
      </c>
      <c r="G731" t="s">
        <v>2</v>
      </c>
      <c r="H731">
        <v>3.6</v>
      </c>
      <c r="I731">
        <v>14</v>
      </c>
      <c r="J731">
        <v>97</v>
      </c>
      <c r="K731" t="s">
        <v>56</v>
      </c>
      <c r="L731" t="s">
        <v>43</v>
      </c>
      <c r="M731" t="s">
        <v>44</v>
      </c>
      <c r="N731">
        <v>4.5</v>
      </c>
      <c r="O731">
        <v>4.9000000000000004</v>
      </c>
    </row>
    <row r="732" spans="1:15" x14ac:dyDescent="0.3">
      <c r="A732" t="s">
        <v>1499</v>
      </c>
      <c r="B732" t="s">
        <v>132</v>
      </c>
      <c r="C732" t="s">
        <v>1500</v>
      </c>
      <c r="D732" t="s">
        <v>39</v>
      </c>
      <c r="E732" t="s">
        <v>40</v>
      </c>
      <c r="F732" t="s">
        <v>154</v>
      </c>
      <c r="G732" t="s">
        <v>5</v>
      </c>
      <c r="H732">
        <v>2</v>
      </c>
      <c r="I732">
        <v>14</v>
      </c>
      <c r="J732">
        <v>124</v>
      </c>
      <c r="K732" t="s">
        <v>33</v>
      </c>
      <c r="L732" t="s">
        <v>34</v>
      </c>
      <c r="M732" t="s">
        <v>35</v>
      </c>
      <c r="N732">
        <v>4.8</v>
      </c>
      <c r="O732">
        <v>4.7</v>
      </c>
    </row>
    <row r="733" spans="1:15" x14ac:dyDescent="0.3">
      <c r="A733" t="s">
        <v>1501</v>
      </c>
      <c r="B733" t="s">
        <v>297</v>
      </c>
      <c r="C733" t="s">
        <v>1013</v>
      </c>
      <c r="D733" t="s">
        <v>39</v>
      </c>
      <c r="E733" t="s">
        <v>154</v>
      </c>
      <c r="F733" t="s">
        <v>484</v>
      </c>
      <c r="G733" t="s">
        <v>4</v>
      </c>
      <c r="H733">
        <v>1</v>
      </c>
      <c r="I733">
        <v>5</v>
      </c>
      <c r="J733">
        <v>98</v>
      </c>
      <c r="K733" t="s">
        <v>42</v>
      </c>
      <c r="L733" t="s">
        <v>49</v>
      </c>
      <c r="M733" t="s">
        <v>44</v>
      </c>
      <c r="N733">
        <v>4.7</v>
      </c>
      <c r="O733">
        <v>4.9000000000000004</v>
      </c>
    </row>
    <row r="734" spans="1:15" x14ac:dyDescent="0.3">
      <c r="A734" t="s">
        <v>1502</v>
      </c>
      <c r="B734" t="s">
        <v>340</v>
      </c>
      <c r="C734" t="s">
        <v>666</v>
      </c>
      <c r="D734" t="s">
        <v>61</v>
      </c>
      <c r="E734" t="s">
        <v>96</v>
      </c>
      <c r="F734" t="s">
        <v>116</v>
      </c>
      <c r="G734" t="s">
        <v>6</v>
      </c>
      <c r="H734">
        <v>5</v>
      </c>
      <c r="I734">
        <v>13</v>
      </c>
      <c r="J734">
        <v>171</v>
      </c>
      <c r="K734" t="s">
        <v>42</v>
      </c>
      <c r="L734" t="s">
        <v>64</v>
      </c>
      <c r="M734" t="s">
        <v>44</v>
      </c>
      <c r="N734">
        <v>4.9000000000000004</v>
      </c>
      <c r="O734">
        <v>4.9000000000000004</v>
      </c>
    </row>
    <row r="735" spans="1:15" x14ac:dyDescent="0.3">
      <c r="A735" t="s">
        <v>1503</v>
      </c>
      <c r="B735" t="s">
        <v>197</v>
      </c>
      <c r="C735" t="s">
        <v>1504</v>
      </c>
      <c r="D735" t="s">
        <v>39</v>
      </c>
      <c r="E735" t="s">
        <v>48</v>
      </c>
      <c r="F735" t="s">
        <v>155</v>
      </c>
      <c r="G735" t="s">
        <v>7</v>
      </c>
      <c r="H735">
        <v>5.9</v>
      </c>
      <c r="I735">
        <v>20</v>
      </c>
      <c r="J735">
        <v>241</v>
      </c>
      <c r="K735" t="s">
        <v>42</v>
      </c>
      <c r="L735" t="s">
        <v>64</v>
      </c>
      <c r="M735" t="s">
        <v>44</v>
      </c>
      <c r="N735">
        <v>4.4000000000000004</v>
      </c>
      <c r="O735">
        <v>4.8</v>
      </c>
    </row>
    <row r="736" spans="1:15" x14ac:dyDescent="0.3">
      <c r="A736" t="s">
        <v>1505</v>
      </c>
      <c r="B736" t="s">
        <v>104</v>
      </c>
      <c r="C736" t="s">
        <v>1506</v>
      </c>
      <c r="D736" t="s">
        <v>39</v>
      </c>
      <c r="E736" t="s">
        <v>40</v>
      </c>
      <c r="F736" t="s">
        <v>278</v>
      </c>
      <c r="G736" t="s">
        <v>5</v>
      </c>
      <c r="H736">
        <v>11.1</v>
      </c>
      <c r="I736">
        <v>41</v>
      </c>
      <c r="J736">
        <v>353</v>
      </c>
      <c r="K736" t="s">
        <v>102</v>
      </c>
      <c r="L736" t="s">
        <v>71</v>
      </c>
      <c r="M736" t="s">
        <v>44</v>
      </c>
      <c r="N736">
        <v>4.9000000000000004</v>
      </c>
      <c r="O736">
        <v>4.5999999999999996</v>
      </c>
    </row>
    <row r="737" spans="1:15" x14ac:dyDescent="0.3">
      <c r="A737" t="s">
        <v>1507</v>
      </c>
      <c r="B737" t="s">
        <v>481</v>
      </c>
      <c r="C737" t="s">
        <v>1171</v>
      </c>
      <c r="D737" t="s">
        <v>75</v>
      </c>
      <c r="E737" t="s">
        <v>77</v>
      </c>
      <c r="F737" t="s">
        <v>230</v>
      </c>
      <c r="G737" t="s">
        <v>6</v>
      </c>
      <c r="H737">
        <v>9.9</v>
      </c>
      <c r="I737">
        <v>29</v>
      </c>
      <c r="J737">
        <v>196</v>
      </c>
      <c r="K737" t="s">
        <v>42</v>
      </c>
      <c r="L737" t="s">
        <v>49</v>
      </c>
      <c r="M737" t="s">
        <v>44</v>
      </c>
      <c r="N737">
        <v>4.9000000000000004</v>
      </c>
      <c r="O737">
        <v>4.5999999999999996</v>
      </c>
    </row>
    <row r="738" spans="1:15" x14ac:dyDescent="0.3">
      <c r="A738" t="s">
        <v>1508</v>
      </c>
      <c r="B738" t="s">
        <v>303</v>
      </c>
      <c r="C738" t="s">
        <v>1509</v>
      </c>
      <c r="D738" t="s">
        <v>75</v>
      </c>
      <c r="E738" t="s">
        <v>578</v>
      </c>
      <c r="F738" t="s">
        <v>76</v>
      </c>
      <c r="G738" t="s">
        <v>6</v>
      </c>
      <c r="H738">
        <v>3.9</v>
      </c>
      <c r="I738">
        <v>12</v>
      </c>
      <c r="J738">
        <v>117</v>
      </c>
      <c r="K738" t="s">
        <v>33</v>
      </c>
      <c r="L738" t="s">
        <v>34</v>
      </c>
      <c r="M738" t="s">
        <v>35</v>
      </c>
      <c r="N738">
        <v>5</v>
      </c>
      <c r="O738">
        <v>4.8</v>
      </c>
    </row>
    <row r="739" spans="1:15" x14ac:dyDescent="0.3">
      <c r="A739" t="s">
        <v>1510</v>
      </c>
      <c r="B739" t="s">
        <v>458</v>
      </c>
      <c r="C739" t="s">
        <v>482</v>
      </c>
      <c r="D739" t="s">
        <v>81</v>
      </c>
      <c r="E739" t="s">
        <v>90</v>
      </c>
      <c r="F739" t="s">
        <v>351</v>
      </c>
      <c r="G739" t="s">
        <v>6</v>
      </c>
      <c r="H739">
        <v>6.8</v>
      </c>
      <c r="I739">
        <v>14</v>
      </c>
      <c r="J739">
        <v>230</v>
      </c>
      <c r="K739" t="s">
        <v>42</v>
      </c>
      <c r="L739" t="s">
        <v>71</v>
      </c>
      <c r="M739" t="s">
        <v>44</v>
      </c>
      <c r="N739">
        <v>4.9000000000000004</v>
      </c>
      <c r="O739">
        <v>4.8</v>
      </c>
    </row>
    <row r="740" spans="1:15" x14ac:dyDescent="0.3">
      <c r="A740" t="s">
        <v>1511</v>
      </c>
      <c r="B740" t="s">
        <v>300</v>
      </c>
      <c r="C740" t="s">
        <v>1512</v>
      </c>
      <c r="D740" t="s">
        <v>158</v>
      </c>
      <c r="E740" t="s">
        <v>283</v>
      </c>
      <c r="F740" t="s">
        <v>334</v>
      </c>
      <c r="G740" t="s">
        <v>6</v>
      </c>
      <c r="H740">
        <v>4.2</v>
      </c>
      <c r="I740">
        <v>10</v>
      </c>
      <c r="J740">
        <v>105</v>
      </c>
      <c r="K740" t="s">
        <v>42</v>
      </c>
      <c r="L740" t="s">
        <v>161</v>
      </c>
      <c r="M740" t="s">
        <v>35</v>
      </c>
      <c r="N740">
        <v>4.7</v>
      </c>
      <c r="O740">
        <v>4.8</v>
      </c>
    </row>
    <row r="741" spans="1:15" x14ac:dyDescent="0.3">
      <c r="A741" t="s">
        <v>1513</v>
      </c>
      <c r="B741" t="s">
        <v>225</v>
      </c>
      <c r="C741" t="s">
        <v>353</v>
      </c>
      <c r="D741" t="s">
        <v>81</v>
      </c>
      <c r="E741" t="s">
        <v>268</v>
      </c>
      <c r="F741" t="s">
        <v>82</v>
      </c>
      <c r="G741" t="s">
        <v>7</v>
      </c>
      <c r="H741">
        <v>4.2</v>
      </c>
      <c r="I741">
        <v>11</v>
      </c>
      <c r="J741">
        <v>179</v>
      </c>
      <c r="K741" t="s">
        <v>33</v>
      </c>
      <c r="L741" t="s">
        <v>49</v>
      </c>
      <c r="M741" t="s">
        <v>44</v>
      </c>
      <c r="N741">
        <v>4.5999999999999996</v>
      </c>
      <c r="O741">
        <v>4.9000000000000004</v>
      </c>
    </row>
    <row r="742" spans="1:15" x14ac:dyDescent="0.3">
      <c r="A742" t="s">
        <v>1514</v>
      </c>
      <c r="B742" t="s">
        <v>276</v>
      </c>
      <c r="C742" t="s">
        <v>660</v>
      </c>
      <c r="D742" t="s">
        <v>158</v>
      </c>
      <c r="E742" t="s">
        <v>283</v>
      </c>
      <c r="F742" t="s">
        <v>160</v>
      </c>
      <c r="G742" t="s">
        <v>4</v>
      </c>
      <c r="H742">
        <v>12.4</v>
      </c>
      <c r="I742">
        <v>34</v>
      </c>
      <c r="J742">
        <v>387</v>
      </c>
      <c r="K742" t="s">
        <v>56</v>
      </c>
      <c r="L742" t="s">
        <v>64</v>
      </c>
      <c r="M742" t="s">
        <v>44</v>
      </c>
      <c r="N742">
        <v>4.5999999999999996</v>
      </c>
      <c r="O742">
        <v>4.8</v>
      </c>
    </row>
    <row r="743" spans="1:15" x14ac:dyDescent="0.3">
      <c r="A743" t="s">
        <v>1515</v>
      </c>
      <c r="B743" t="s">
        <v>163</v>
      </c>
      <c r="C743" t="s">
        <v>1516</v>
      </c>
      <c r="D743" t="s">
        <v>53</v>
      </c>
      <c r="E743" t="s">
        <v>236</v>
      </c>
      <c r="F743" t="s">
        <v>515</v>
      </c>
      <c r="G743" t="s">
        <v>2</v>
      </c>
      <c r="H743">
        <v>1.4</v>
      </c>
      <c r="I743">
        <v>9</v>
      </c>
      <c r="J743">
        <v>61</v>
      </c>
      <c r="K743" t="s">
        <v>56</v>
      </c>
      <c r="L743" t="s">
        <v>71</v>
      </c>
      <c r="M743" t="s">
        <v>44</v>
      </c>
      <c r="N743">
        <v>4.5</v>
      </c>
      <c r="O743">
        <v>5</v>
      </c>
    </row>
    <row r="744" spans="1:15" x14ac:dyDescent="0.3">
      <c r="A744" t="s">
        <v>1517</v>
      </c>
      <c r="B744" t="s">
        <v>163</v>
      </c>
      <c r="C744" t="s">
        <v>1263</v>
      </c>
      <c r="D744" t="s">
        <v>61</v>
      </c>
      <c r="E744" t="s">
        <v>96</v>
      </c>
      <c r="F744" t="s">
        <v>328</v>
      </c>
      <c r="G744" t="s">
        <v>2</v>
      </c>
      <c r="H744">
        <v>1</v>
      </c>
      <c r="I744">
        <v>5</v>
      </c>
      <c r="J744">
        <v>54</v>
      </c>
      <c r="K744" t="s">
        <v>102</v>
      </c>
      <c r="L744" t="s">
        <v>64</v>
      </c>
      <c r="M744" t="s">
        <v>44</v>
      </c>
      <c r="N744">
        <v>4.7</v>
      </c>
      <c r="O744">
        <v>4.7</v>
      </c>
    </row>
    <row r="745" spans="1:15" x14ac:dyDescent="0.3">
      <c r="A745" t="s">
        <v>1518</v>
      </c>
      <c r="B745" t="s">
        <v>177</v>
      </c>
      <c r="C745" t="s">
        <v>553</v>
      </c>
      <c r="D745" t="s">
        <v>106</v>
      </c>
      <c r="E745" t="s">
        <v>472</v>
      </c>
      <c r="F745" t="s">
        <v>290</v>
      </c>
      <c r="G745" t="s">
        <v>4</v>
      </c>
      <c r="H745">
        <v>5.0999999999999996</v>
      </c>
      <c r="I745">
        <v>11</v>
      </c>
      <c r="J745">
        <v>243</v>
      </c>
      <c r="K745" t="s">
        <v>33</v>
      </c>
      <c r="L745" t="s">
        <v>71</v>
      </c>
      <c r="M745" t="s">
        <v>44</v>
      </c>
      <c r="N745">
        <v>4.7</v>
      </c>
      <c r="O745">
        <v>4.4000000000000004</v>
      </c>
    </row>
    <row r="746" spans="1:15" x14ac:dyDescent="0.3">
      <c r="A746" t="s">
        <v>1519</v>
      </c>
      <c r="B746" t="s">
        <v>208</v>
      </c>
      <c r="C746" t="s">
        <v>1520</v>
      </c>
      <c r="D746" t="s">
        <v>81</v>
      </c>
      <c r="E746" t="s">
        <v>82</v>
      </c>
      <c r="F746" t="s">
        <v>91</v>
      </c>
      <c r="G746" t="s">
        <v>6</v>
      </c>
      <c r="H746">
        <v>3.8</v>
      </c>
      <c r="I746">
        <v>8</v>
      </c>
      <c r="J746">
        <v>114</v>
      </c>
      <c r="K746" t="s">
        <v>102</v>
      </c>
      <c r="L746" t="s">
        <v>78</v>
      </c>
      <c r="M746" t="s">
        <v>44</v>
      </c>
      <c r="N746">
        <v>4.9000000000000004</v>
      </c>
      <c r="O746">
        <v>5</v>
      </c>
    </row>
    <row r="747" spans="1:15" x14ac:dyDescent="0.3">
      <c r="A747" t="s">
        <v>1521</v>
      </c>
      <c r="B747" t="s">
        <v>400</v>
      </c>
      <c r="C747" t="s">
        <v>1375</v>
      </c>
      <c r="D747" t="s">
        <v>81</v>
      </c>
      <c r="E747" t="s">
        <v>83</v>
      </c>
      <c r="F747" t="s">
        <v>82</v>
      </c>
      <c r="G747" t="s">
        <v>7</v>
      </c>
      <c r="H747">
        <v>20.5</v>
      </c>
      <c r="I747">
        <v>56</v>
      </c>
      <c r="J747">
        <v>452</v>
      </c>
      <c r="K747" t="s">
        <v>33</v>
      </c>
      <c r="L747" t="s">
        <v>49</v>
      </c>
      <c r="M747" t="s">
        <v>44</v>
      </c>
      <c r="N747">
        <v>4.7</v>
      </c>
      <c r="O747">
        <v>4.7</v>
      </c>
    </row>
    <row r="748" spans="1:15" x14ac:dyDescent="0.3">
      <c r="A748" t="s">
        <v>1522</v>
      </c>
      <c r="B748" t="s">
        <v>545</v>
      </c>
      <c r="C748" t="s">
        <v>963</v>
      </c>
      <c r="D748" t="s">
        <v>53</v>
      </c>
      <c r="E748" t="s">
        <v>221</v>
      </c>
      <c r="F748" t="s">
        <v>55</v>
      </c>
      <c r="G748" t="s">
        <v>5</v>
      </c>
      <c r="H748">
        <v>1.8</v>
      </c>
      <c r="I748">
        <v>12</v>
      </c>
      <c r="J748">
        <v>146</v>
      </c>
      <c r="K748" t="s">
        <v>33</v>
      </c>
      <c r="L748" t="s">
        <v>71</v>
      </c>
      <c r="M748" t="s">
        <v>44</v>
      </c>
      <c r="N748">
        <v>5</v>
      </c>
      <c r="O748">
        <v>4.5999999999999996</v>
      </c>
    </row>
    <row r="749" spans="1:15" x14ac:dyDescent="0.3">
      <c r="A749" t="s">
        <v>1523</v>
      </c>
      <c r="B749" t="s">
        <v>110</v>
      </c>
      <c r="C749" t="s">
        <v>595</v>
      </c>
      <c r="D749" t="s">
        <v>75</v>
      </c>
      <c r="E749" t="s">
        <v>578</v>
      </c>
      <c r="F749" t="s">
        <v>76</v>
      </c>
      <c r="G749" t="s">
        <v>6</v>
      </c>
      <c r="H749">
        <v>2.8</v>
      </c>
      <c r="I749">
        <v>5</v>
      </c>
      <c r="J749">
        <v>94</v>
      </c>
      <c r="K749" t="s">
        <v>102</v>
      </c>
      <c r="L749" t="s">
        <v>49</v>
      </c>
      <c r="M749" t="s">
        <v>44</v>
      </c>
      <c r="N749">
        <v>4.5</v>
      </c>
      <c r="O749">
        <v>4.7</v>
      </c>
    </row>
    <row r="750" spans="1:15" x14ac:dyDescent="0.3">
      <c r="A750" t="s">
        <v>1524</v>
      </c>
      <c r="B750" t="s">
        <v>232</v>
      </c>
      <c r="C750" t="s">
        <v>1525</v>
      </c>
      <c r="D750" t="s">
        <v>53</v>
      </c>
      <c r="E750" t="s">
        <v>221</v>
      </c>
      <c r="F750" t="s">
        <v>220</v>
      </c>
      <c r="G750" t="s">
        <v>2</v>
      </c>
      <c r="H750">
        <v>9.6999999999999993</v>
      </c>
      <c r="I750">
        <v>24</v>
      </c>
      <c r="J750">
        <v>205</v>
      </c>
      <c r="K750" t="s">
        <v>33</v>
      </c>
      <c r="L750" t="s">
        <v>71</v>
      </c>
      <c r="M750" t="s">
        <v>44</v>
      </c>
      <c r="N750">
        <v>4.8</v>
      </c>
      <c r="O750">
        <v>4.7</v>
      </c>
    </row>
    <row r="751" spans="1:15" x14ac:dyDescent="0.3">
      <c r="A751" t="s">
        <v>1526</v>
      </c>
      <c r="B751" t="s">
        <v>309</v>
      </c>
      <c r="C751" t="s">
        <v>1527</v>
      </c>
      <c r="D751" t="s">
        <v>39</v>
      </c>
      <c r="E751" t="s">
        <v>484</v>
      </c>
      <c r="F751" t="s">
        <v>40</v>
      </c>
      <c r="G751" t="s">
        <v>6</v>
      </c>
      <c r="H751">
        <v>6.5</v>
      </c>
      <c r="I751">
        <v>22</v>
      </c>
      <c r="J751">
        <v>183</v>
      </c>
      <c r="K751" t="s">
        <v>102</v>
      </c>
      <c r="L751" t="s">
        <v>64</v>
      </c>
      <c r="M751" t="s">
        <v>44</v>
      </c>
      <c r="N751">
        <v>4.8</v>
      </c>
      <c r="O751">
        <v>5</v>
      </c>
    </row>
    <row r="752" spans="1:15" x14ac:dyDescent="0.3">
      <c r="A752" t="s">
        <v>1528</v>
      </c>
      <c r="B752" t="s">
        <v>170</v>
      </c>
      <c r="C752" t="s">
        <v>1529</v>
      </c>
      <c r="D752" t="s">
        <v>61</v>
      </c>
      <c r="E752" t="s">
        <v>63</v>
      </c>
      <c r="F752" t="s">
        <v>95</v>
      </c>
      <c r="G752" t="s">
        <v>3</v>
      </c>
      <c r="H752">
        <v>8.1</v>
      </c>
      <c r="I752">
        <v>20</v>
      </c>
      <c r="J752">
        <v>373</v>
      </c>
      <c r="K752" t="s">
        <v>42</v>
      </c>
      <c r="L752" t="s">
        <v>34</v>
      </c>
      <c r="M752" t="s">
        <v>35</v>
      </c>
      <c r="N752">
        <v>4.7</v>
      </c>
      <c r="O752">
        <v>4.9000000000000004</v>
      </c>
    </row>
    <row r="753" spans="1:15" x14ac:dyDescent="0.3">
      <c r="A753" t="s">
        <v>1530</v>
      </c>
      <c r="B753" t="s">
        <v>243</v>
      </c>
      <c r="C753" t="s">
        <v>1377</v>
      </c>
      <c r="D753" t="s">
        <v>106</v>
      </c>
      <c r="E753" t="s">
        <v>107</v>
      </c>
      <c r="F753" t="s">
        <v>126</v>
      </c>
      <c r="G753" t="s">
        <v>2</v>
      </c>
      <c r="H753">
        <v>1</v>
      </c>
      <c r="I753">
        <v>5</v>
      </c>
      <c r="J753">
        <v>81</v>
      </c>
      <c r="K753" t="s">
        <v>102</v>
      </c>
      <c r="L753" t="s">
        <v>43</v>
      </c>
      <c r="M753" t="s">
        <v>44</v>
      </c>
      <c r="N753">
        <v>4.9000000000000004</v>
      </c>
      <c r="O753">
        <v>4.3</v>
      </c>
    </row>
    <row r="754" spans="1:15" x14ac:dyDescent="0.3">
      <c r="A754" t="s">
        <v>1531</v>
      </c>
      <c r="B754" t="s">
        <v>152</v>
      </c>
      <c r="C754" t="s">
        <v>1532</v>
      </c>
      <c r="D754" t="s">
        <v>53</v>
      </c>
      <c r="E754" t="s">
        <v>54</v>
      </c>
      <c r="F754" t="s">
        <v>221</v>
      </c>
      <c r="G754" t="s">
        <v>6</v>
      </c>
      <c r="H754">
        <v>2.5</v>
      </c>
      <c r="I754">
        <v>5</v>
      </c>
      <c r="J754">
        <v>120</v>
      </c>
      <c r="K754" t="s">
        <v>102</v>
      </c>
      <c r="L754" t="s">
        <v>71</v>
      </c>
      <c r="M754" t="s">
        <v>44</v>
      </c>
      <c r="N754">
        <v>4.5</v>
      </c>
      <c r="O754">
        <v>5</v>
      </c>
    </row>
    <row r="755" spans="1:15" x14ac:dyDescent="0.3">
      <c r="A755" t="s">
        <v>1533</v>
      </c>
      <c r="B755" t="s">
        <v>562</v>
      </c>
      <c r="C755" t="s">
        <v>259</v>
      </c>
      <c r="D755" t="s">
        <v>68</v>
      </c>
      <c r="E755" t="s">
        <v>70</v>
      </c>
      <c r="F755" t="s">
        <v>210</v>
      </c>
      <c r="G755" t="s">
        <v>4</v>
      </c>
      <c r="H755">
        <v>11.2</v>
      </c>
      <c r="I755">
        <v>27</v>
      </c>
      <c r="J755">
        <v>290</v>
      </c>
      <c r="K755" t="s">
        <v>102</v>
      </c>
      <c r="L755" t="s">
        <v>34</v>
      </c>
      <c r="M755" t="s">
        <v>35</v>
      </c>
      <c r="N755">
        <v>4.7</v>
      </c>
      <c r="O755">
        <v>4.9000000000000004</v>
      </c>
    </row>
    <row r="756" spans="1:15" x14ac:dyDescent="0.3">
      <c r="A756" t="s">
        <v>1534</v>
      </c>
      <c r="B756" t="s">
        <v>170</v>
      </c>
      <c r="C756" t="s">
        <v>534</v>
      </c>
      <c r="D756" t="s">
        <v>106</v>
      </c>
      <c r="E756" t="s">
        <v>472</v>
      </c>
      <c r="F756" t="s">
        <v>108</v>
      </c>
      <c r="G756" t="s">
        <v>2</v>
      </c>
      <c r="H756">
        <v>11.2</v>
      </c>
      <c r="I756">
        <v>26</v>
      </c>
      <c r="J756">
        <v>151</v>
      </c>
      <c r="K756" t="s">
        <v>42</v>
      </c>
      <c r="L756" t="s">
        <v>49</v>
      </c>
      <c r="M756" t="s">
        <v>44</v>
      </c>
      <c r="N756">
        <v>4.5999999999999996</v>
      </c>
      <c r="O756">
        <v>5</v>
      </c>
    </row>
    <row r="757" spans="1:15" x14ac:dyDescent="0.3">
      <c r="A757" t="s">
        <v>1535</v>
      </c>
      <c r="B757" t="s">
        <v>400</v>
      </c>
      <c r="C757" t="s">
        <v>1536</v>
      </c>
      <c r="D757" t="s">
        <v>30</v>
      </c>
      <c r="E757" t="s">
        <v>142</v>
      </c>
      <c r="F757" t="s">
        <v>32</v>
      </c>
      <c r="G757" t="s">
        <v>4</v>
      </c>
      <c r="H757">
        <v>4.9000000000000004</v>
      </c>
      <c r="I757">
        <v>20</v>
      </c>
      <c r="J757">
        <v>226</v>
      </c>
      <c r="K757" t="s">
        <v>33</v>
      </c>
      <c r="L757" t="s">
        <v>78</v>
      </c>
      <c r="M757" t="s">
        <v>44</v>
      </c>
      <c r="N757">
        <v>5</v>
      </c>
      <c r="O757">
        <v>4.5999999999999996</v>
      </c>
    </row>
    <row r="758" spans="1:15" x14ac:dyDescent="0.3">
      <c r="A758" t="s">
        <v>1537</v>
      </c>
      <c r="B758" t="s">
        <v>629</v>
      </c>
      <c r="C758" t="s">
        <v>851</v>
      </c>
      <c r="D758" t="s">
        <v>39</v>
      </c>
      <c r="E758" t="s">
        <v>40</v>
      </c>
      <c r="F758" t="s">
        <v>48</v>
      </c>
      <c r="G758" t="s">
        <v>6</v>
      </c>
      <c r="H758">
        <v>4.3</v>
      </c>
      <c r="I758">
        <v>10</v>
      </c>
      <c r="J758">
        <v>128</v>
      </c>
      <c r="K758" t="s">
        <v>33</v>
      </c>
      <c r="L758" t="s">
        <v>49</v>
      </c>
      <c r="M758" t="s">
        <v>44</v>
      </c>
      <c r="N758">
        <v>4.5</v>
      </c>
      <c r="O758">
        <v>4.8</v>
      </c>
    </row>
    <row r="759" spans="1:15" x14ac:dyDescent="0.3">
      <c r="A759" t="s">
        <v>1538</v>
      </c>
      <c r="B759" t="s">
        <v>136</v>
      </c>
      <c r="C759" t="s">
        <v>1175</v>
      </c>
      <c r="D759" t="s">
        <v>39</v>
      </c>
      <c r="E759" t="s">
        <v>154</v>
      </c>
      <c r="F759" t="s">
        <v>48</v>
      </c>
      <c r="G759" t="s">
        <v>4</v>
      </c>
      <c r="H759">
        <v>5</v>
      </c>
      <c r="I759">
        <v>19</v>
      </c>
      <c r="J759">
        <v>267</v>
      </c>
      <c r="K759" t="s">
        <v>102</v>
      </c>
      <c r="L759" t="s">
        <v>71</v>
      </c>
      <c r="M759" t="s">
        <v>44</v>
      </c>
      <c r="N759">
        <v>4.9000000000000004</v>
      </c>
      <c r="O759">
        <v>4.5</v>
      </c>
    </row>
    <row r="760" spans="1:15" x14ac:dyDescent="0.3">
      <c r="A760" t="s">
        <v>1539</v>
      </c>
      <c r="B760" t="s">
        <v>232</v>
      </c>
      <c r="C760" t="s">
        <v>1540</v>
      </c>
      <c r="D760" t="s">
        <v>61</v>
      </c>
      <c r="E760" t="s">
        <v>183</v>
      </c>
      <c r="F760" t="s">
        <v>63</v>
      </c>
      <c r="G760" t="s">
        <v>2</v>
      </c>
      <c r="H760">
        <v>7.6</v>
      </c>
      <c r="I760">
        <v>30</v>
      </c>
      <c r="J760">
        <v>119</v>
      </c>
      <c r="K760" t="s">
        <v>42</v>
      </c>
      <c r="L760" t="s">
        <v>161</v>
      </c>
      <c r="M760" t="s">
        <v>35</v>
      </c>
      <c r="N760">
        <v>4.9000000000000004</v>
      </c>
      <c r="O760">
        <v>5</v>
      </c>
    </row>
    <row r="761" spans="1:15" x14ac:dyDescent="0.3">
      <c r="A761" t="s">
        <v>1541</v>
      </c>
      <c r="B761" t="s">
        <v>110</v>
      </c>
      <c r="C761" t="s">
        <v>1542</v>
      </c>
      <c r="D761" t="s">
        <v>81</v>
      </c>
      <c r="E761" t="s">
        <v>91</v>
      </c>
      <c r="F761" t="s">
        <v>90</v>
      </c>
      <c r="G761" t="s">
        <v>6</v>
      </c>
      <c r="H761">
        <v>9.6999999999999993</v>
      </c>
      <c r="I761">
        <v>27</v>
      </c>
      <c r="J761">
        <v>297</v>
      </c>
      <c r="K761" t="s">
        <v>33</v>
      </c>
      <c r="L761" t="s">
        <v>71</v>
      </c>
      <c r="M761" t="s">
        <v>44</v>
      </c>
      <c r="N761">
        <v>4.3</v>
      </c>
      <c r="O761">
        <v>4.7</v>
      </c>
    </row>
    <row r="762" spans="1:15" x14ac:dyDescent="0.3">
      <c r="A762" t="s">
        <v>1543</v>
      </c>
      <c r="B762" t="s">
        <v>218</v>
      </c>
      <c r="C762" t="s">
        <v>1525</v>
      </c>
      <c r="D762" t="s">
        <v>68</v>
      </c>
      <c r="E762" t="s">
        <v>120</v>
      </c>
      <c r="F762" t="s">
        <v>70</v>
      </c>
      <c r="G762" t="s">
        <v>6</v>
      </c>
      <c r="H762">
        <v>4.4000000000000004</v>
      </c>
      <c r="I762">
        <v>20</v>
      </c>
      <c r="J762">
        <v>131</v>
      </c>
      <c r="K762" t="s">
        <v>102</v>
      </c>
      <c r="L762" t="s">
        <v>71</v>
      </c>
      <c r="M762" t="s">
        <v>44</v>
      </c>
      <c r="N762">
        <v>4.5</v>
      </c>
      <c r="O762">
        <v>4.2</v>
      </c>
    </row>
    <row r="763" spans="1:15" x14ac:dyDescent="0.3">
      <c r="A763" t="s">
        <v>1544</v>
      </c>
      <c r="B763" t="s">
        <v>458</v>
      </c>
      <c r="C763" t="s">
        <v>1545</v>
      </c>
      <c r="D763" t="s">
        <v>61</v>
      </c>
      <c r="E763" t="s">
        <v>116</v>
      </c>
      <c r="F763" t="s">
        <v>63</v>
      </c>
      <c r="G763" t="s">
        <v>6</v>
      </c>
      <c r="H763">
        <v>5.9</v>
      </c>
      <c r="I763">
        <v>16</v>
      </c>
      <c r="J763">
        <v>172</v>
      </c>
      <c r="K763" t="s">
        <v>102</v>
      </c>
      <c r="L763" t="s">
        <v>49</v>
      </c>
      <c r="M763" t="s">
        <v>44</v>
      </c>
      <c r="N763">
        <v>4.9000000000000004</v>
      </c>
      <c r="O763">
        <v>5</v>
      </c>
    </row>
    <row r="764" spans="1:15" x14ac:dyDescent="0.3">
      <c r="A764" t="s">
        <v>1546</v>
      </c>
      <c r="B764" t="s">
        <v>453</v>
      </c>
      <c r="C764" t="s">
        <v>1045</v>
      </c>
      <c r="D764" t="s">
        <v>30</v>
      </c>
      <c r="E764" t="s">
        <v>112</v>
      </c>
      <c r="F764" t="s">
        <v>101</v>
      </c>
      <c r="G764" t="s">
        <v>7</v>
      </c>
      <c r="H764">
        <v>14.1</v>
      </c>
      <c r="I764">
        <v>51</v>
      </c>
      <c r="J764">
        <v>322</v>
      </c>
      <c r="K764" t="s">
        <v>33</v>
      </c>
      <c r="L764" t="s">
        <v>43</v>
      </c>
      <c r="M764" t="s">
        <v>44</v>
      </c>
      <c r="N764">
        <v>4.9000000000000004</v>
      </c>
      <c r="O764">
        <v>5</v>
      </c>
    </row>
    <row r="765" spans="1:15" x14ac:dyDescent="0.3">
      <c r="A765" t="s">
        <v>1547</v>
      </c>
      <c r="B765" t="s">
        <v>400</v>
      </c>
      <c r="C765" t="s">
        <v>804</v>
      </c>
      <c r="D765" t="s">
        <v>39</v>
      </c>
      <c r="E765" t="s">
        <v>41</v>
      </c>
      <c r="F765" t="s">
        <v>48</v>
      </c>
      <c r="G765" t="s">
        <v>2</v>
      </c>
      <c r="H765">
        <v>7.3</v>
      </c>
      <c r="I765">
        <v>22</v>
      </c>
      <c r="J765">
        <v>127</v>
      </c>
      <c r="K765" t="s">
        <v>33</v>
      </c>
      <c r="L765" t="s">
        <v>49</v>
      </c>
      <c r="M765" t="s">
        <v>44</v>
      </c>
      <c r="N765">
        <v>4.8</v>
      </c>
      <c r="O765">
        <v>4.8</v>
      </c>
    </row>
    <row r="766" spans="1:15" x14ac:dyDescent="0.3">
      <c r="A766" t="s">
        <v>1548</v>
      </c>
      <c r="B766" t="s">
        <v>218</v>
      </c>
      <c r="C766" t="s">
        <v>1549</v>
      </c>
      <c r="D766" t="s">
        <v>61</v>
      </c>
      <c r="E766" t="s">
        <v>96</v>
      </c>
      <c r="F766" t="s">
        <v>63</v>
      </c>
      <c r="G766" t="s">
        <v>5</v>
      </c>
      <c r="H766">
        <v>9.5</v>
      </c>
      <c r="I766">
        <v>28</v>
      </c>
      <c r="J766">
        <v>229</v>
      </c>
      <c r="K766" t="s">
        <v>42</v>
      </c>
      <c r="L766" t="s">
        <v>78</v>
      </c>
      <c r="M766" t="s">
        <v>44</v>
      </c>
      <c r="N766">
        <v>4.9000000000000004</v>
      </c>
      <c r="O766">
        <v>4.8</v>
      </c>
    </row>
    <row r="767" spans="1:15" x14ac:dyDescent="0.3">
      <c r="A767" t="s">
        <v>1550</v>
      </c>
      <c r="B767" t="s">
        <v>853</v>
      </c>
      <c r="C767" t="s">
        <v>1551</v>
      </c>
      <c r="D767" t="s">
        <v>75</v>
      </c>
      <c r="E767" t="s">
        <v>394</v>
      </c>
      <c r="F767" t="s">
        <v>239</v>
      </c>
      <c r="G767" t="s">
        <v>6</v>
      </c>
      <c r="H767">
        <v>4.9000000000000004</v>
      </c>
      <c r="I767">
        <v>15</v>
      </c>
      <c r="J767">
        <v>189</v>
      </c>
      <c r="K767" t="s">
        <v>33</v>
      </c>
      <c r="L767" t="s">
        <v>64</v>
      </c>
      <c r="M767" t="s">
        <v>44</v>
      </c>
      <c r="N767">
        <v>5</v>
      </c>
      <c r="O767">
        <v>4.9000000000000004</v>
      </c>
    </row>
    <row r="768" spans="1:15" x14ac:dyDescent="0.3">
      <c r="A768" t="s">
        <v>1552</v>
      </c>
      <c r="B768" t="s">
        <v>629</v>
      </c>
      <c r="C768" t="s">
        <v>948</v>
      </c>
      <c r="D768" t="s">
        <v>75</v>
      </c>
      <c r="E768" t="s">
        <v>394</v>
      </c>
      <c r="F768" t="s">
        <v>578</v>
      </c>
      <c r="G768" t="s">
        <v>6</v>
      </c>
      <c r="H768">
        <v>5.9</v>
      </c>
      <c r="I768">
        <v>13</v>
      </c>
      <c r="J768">
        <v>212</v>
      </c>
      <c r="K768" t="s">
        <v>33</v>
      </c>
      <c r="L768" t="s">
        <v>43</v>
      </c>
      <c r="M768" t="s">
        <v>44</v>
      </c>
      <c r="N768">
        <v>4.5999999999999996</v>
      </c>
      <c r="O768">
        <v>4.5999999999999996</v>
      </c>
    </row>
    <row r="769" spans="1:15" x14ac:dyDescent="0.3">
      <c r="A769" t="s">
        <v>1553</v>
      </c>
      <c r="B769" t="s">
        <v>177</v>
      </c>
      <c r="C769" t="s">
        <v>1554</v>
      </c>
      <c r="D769" t="s">
        <v>53</v>
      </c>
      <c r="E769" t="s">
        <v>405</v>
      </c>
      <c r="F769" t="s">
        <v>515</v>
      </c>
      <c r="G769" t="s">
        <v>2</v>
      </c>
      <c r="H769">
        <v>7.5</v>
      </c>
      <c r="I769">
        <v>24</v>
      </c>
      <c r="J769">
        <v>143</v>
      </c>
      <c r="K769" t="s">
        <v>33</v>
      </c>
      <c r="L769" t="s">
        <v>34</v>
      </c>
      <c r="M769" t="s">
        <v>35</v>
      </c>
      <c r="N769">
        <v>4.7</v>
      </c>
      <c r="O769">
        <v>4.7</v>
      </c>
    </row>
    <row r="770" spans="1:15" x14ac:dyDescent="0.3">
      <c r="A770" t="s">
        <v>1555</v>
      </c>
      <c r="B770" t="s">
        <v>300</v>
      </c>
      <c r="C770" t="s">
        <v>1556</v>
      </c>
      <c r="D770" t="s">
        <v>30</v>
      </c>
      <c r="E770" t="s">
        <v>31</v>
      </c>
      <c r="F770" t="s">
        <v>112</v>
      </c>
      <c r="G770" t="s">
        <v>6</v>
      </c>
      <c r="H770">
        <v>8.4</v>
      </c>
      <c r="I770">
        <v>24</v>
      </c>
      <c r="J770">
        <v>202</v>
      </c>
      <c r="K770" t="s">
        <v>33</v>
      </c>
      <c r="L770" t="s">
        <v>49</v>
      </c>
      <c r="M770" t="s">
        <v>44</v>
      </c>
      <c r="N770">
        <v>4.8</v>
      </c>
      <c r="O770">
        <v>4.5999999999999996</v>
      </c>
    </row>
    <row r="771" spans="1:15" x14ac:dyDescent="0.3">
      <c r="A771" t="s">
        <v>1557</v>
      </c>
      <c r="B771" t="s">
        <v>286</v>
      </c>
      <c r="C771" t="s">
        <v>1558</v>
      </c>
      <c r="D771" t="s">
        <v>30</v>
      </c>
      <c r="E771" t="s">
        <v>32</v>
      </c>
      <c r="F771" t="s">
        <v>31</v>
      </c>
      <c r="G771" t="s">
        <v>3</v>
      </c>
      <c r="H771">
        <v>1</v>
      </c>
      <c r="I771">
        <v>5</v>
      </c>
      <c r="J771">
        <v>179</v>
      </c>
      <c r="K771" t="s">
        <v>33</v>
      </c>
      <c r="L771" t="s">
        <v>34</v>
      </c>
      <c r="M771" t="s">
        <v>35</v>
      </c>
      <c r="N771">
        <v>4.7</v>
      </c>
      <c r="O771">
        <v>4.5999999999999996</v>
      </c>
    </row>
    <row r="772" spans="1:15" x14ac:dyDescent="0.3">
      <c r="A772" t="s">
        <v>1559</v>
      </c>
      <c r="B772" t="s">
        <v>273</v>
      </c>
      <c r="C772" t="s">
        <v>1098</v>
      </c>
      <c r="D772" t="s">
        <v>30</v>
      </c>
      <c r="E772" t="s">
        <v>112</v>
      </c>
      <c r="F772" t="s">
        <v>100</v>
      </c>
      <c r="G772" t="s">
        <v>6</v>
      </c>
      <c r="H772">
        <v>4.7</v>
      </c>
      <c r="I772">
        <v>14</v>
      </c>
      <c r="J772">
        <v>152</v>
      </c>
      <c r="K772" t="s">
        <v>56</v>
      </c>
      <c r="L772" t="s">
        <v>78</v>
      </c>
      <c r="M772" t="s">
        <v>44</v>
      </c>
      <c r="N772">
        <v>4.5</v>
      </c>
      <c r="O772">
        <v>4.8</v>
      </c>
    </row>
    <row r="773" spans="1:15" x14ac:dyDescent="0.3">
      <c r="A773" t="s">
        <v>1560</v>
      </c>
      <c r="B773" t="s">
        <v>309</v>
      </c>
      <c r="C773" t="s">
        <v>1561</v>
      </c>
      <c r="D773" t="s">
        <v>30</v>
      </c>
      <c r="E773" t="s">
        <v>32</v>
      </c>
      <c r="F773" t="s">
        <v>112</v>
      </c>
      <c r="G773" t="s">
        <v>6</v>
      </c>
      <c r="H773">
        <v>8</v>
      </c>
      <c r="I773">
        <v>33</v>
      </c>
      <c r="J773">
        <v>203</v>
      </c>
      <c r="K773" t="s">
        <v>33</v>
      </c>
      <c r="L773" t="s">
        <v>34</v>
      </c>
      <c r="M773" t="s">
        <v>35</v>
      </c>
      <c r="N773">
        <v>4.9000000000000004</v>
      </c>
      <c r="O773">
        <v>4.5999999999999996</v>
      </c>
    </row>
    <row r="774" spans="1:15" x14ac:dyDescent="0.3">
      <c r="A774" t="s">
        <v>1562</v>
      </c>
      <c r="B774" t="s">
        <v>205</v>
      </c>
      <c r="C774" t="s">
        <v>1377</v>
      </c>
      <c r="D774" t="s">
        <v>81</v>
      </c>
      <c r="E774" t="s">
        <v>351</v>
      </c>
      <c r="F774" t="s">
        <v>83</v>
      </c>
      <c r="G774" t="s">
        <v>5</v>
      </c>
      <c r="H774">
        <v>4.4000000000000004</v>
      </c>
      <c r="I774">
        <v>7</v>
      </c>
      <c r="J774">
        <v>206</v>
      </c>
      <c r="K774" t="s">
        <v>33</v>
      </c>
      <c r="L774" t="s">
        <v>43</v>
      </c>
      <c r="M774" t="s">
        <v>44</v>
      </c>
      <c r="N774">
        <v>5</v>
      </c>
      <c r="O774">
        <v>4.9000000000000004</v>
      </c>
    </row>
    <row r="775" spans="1:15" x14ac:dyDescent="0.3">
      <c r="A775" t="s">
        <v>1563</v>
      </c>
      <c r="B775" t="s">
        <v>276</v>
      </c>
      <c r="C775" t="s">
        <v>1564</v>
      </c>
      <c r="D775" t="s">
        <v>75</v>
      </c>
      <c r="E775" t="s">
        <v>394</v>
      </c>
      <c r="F775" t="s">
        <v>76</v>
      </c>
      <c r="G775" t="s">
        <v>6</v>
      </c>
      <c r="H775">
        <v>4.2</v>
      </c>
      <c r="I775">
        <v>12</v>
      </c>
      <c r="J775">
        <v>125</v>
      </c>
      <c r="K775" t="s">
        <v>33</v>
      </c>
      <c r="L775" t="s">
        <v>43</v>
      </c>
      <c r="M775" t="s">
        <v>44</v>
      </c>
      <c r="N775">
        <v>4.8</v>
      </c>
      <c r="O775">
        <v>4.9000000000000004</v>
      </c>
    </row>
    <row r="776" spans="1:15" x14ac:dyDescent="0.3">
      <c r="A776" t="s">
        <v>1565</v>
      </c>
      <c r="B776" t="s">
        <v>51</v>
      </c>
      <c r="C776" t="s">
        <v>393</v>
      </c>
      <c r="D776" t="s">
        <v>53</v>
      </c>
      <c r="E776" t="s">
        <v>54</v>
      </c>
      <c r="F776" t="s">
        <v>220</v>
      </c>
      <c r="G776" t="s">
        <v>6</v>
      </c>
      <c r="H776">
        <v>29.6</v>
      </c>
      <c r="I776">
        <v>79</v>
      </c>
      <c r="J776">
        <v>570</v>
      </c>
      <c r="K776" t="s">
        <v>33</v>
      </c>
      <c r="L776" t="s">
        <v>34</v>
      </c>
      <c r="M776" t="s">
        <v>35</v>
      </c>
      <c r="N776">
        <v>4.7</v>
      </c>
      <c r="O776">
        <v>4.7</v>
      </c>
    </row>
    <row r="777" spans="1:15" x14ac:dyDescent="0.3">
      <c r="A777" t="s">
        <v>1566</v>
      </c>
      <c r="B777" t="s">
        <v>98</v>
      </c>
      <c r="C777" t="s">
        <v>571</v>
      </c>
      <c r="D777" t="s">
        <v>106</v>
      </c>
      <c r="E777" t="s">
        <v>107</v>
      </c>
      <c r="F777" t="s">
        <v>187</v>
      </c>
      <c r="G777" t="s">
        <v>5</v>
      </c>
      <c r="H777">
        <v>14.6</v>
      </c>
      <c r="I777">
        <v>26</v>
      </c>
      <c r="J777">
        <v>461</v>
      </c>
      <c r="K777" t="s">
        <v>56</v>
      </c>
      <c r="L777" t="s">
        <v>71</v>
      </c>
      <c r="M777" t="s">
        <v>44</v>
      </c>
      <c r="N777">
        <v>4.3</v>
      </c>
      <c r="O777">
        <v>5</v>
      </c>
    </row>
    <row r="778" spans="1:15" x14ac:dyDescent="0.3">
      <c r="A778" t="s">
        <v>1567</v>
      </c>
      <c r="B778" t="s">
        <v>28</v>
      </c>
      <c r="C778" t="s">
        <v>1089</v>
      </c>
      <c r="D778" t="s">
        <v>81</v>
      </c>
      <c r="E778" t="s">
        <v>201</v>
      </c>
      <c r="F778" t="s">
        <v>83</v>
      </c>
      <c r="G778" t="s">
        <v>5</v>
      </c>
      <c r="H778">
        <v>2</v>
      </c>
      <c r="I778">
        <v>6</v>
      </c>
      <c r="J778">
        <v>119</v>
      </c>
      <c r="K778" t="s">
        <v>56</v>
      </c>
      <c r="L778" t="s">
        <v>49</v>
      </c>
      <c r="M778" t="s">
        <v>44</v>
      </c>
      <c r="N778">
        <v>4.9000000000000004</v>
      </c>
      <c r="O778">
        <v>4.9000000000000004</v>
      </c>
    </row>
    <row r="779" spans="1:15" x14ac:dyDescent="0.3">
      <c r="A779" t="s">
        <v>1568</v>
      </c>
      <c r="B779" t="s">
        <v>163</v>
      </c>
      <c r="C779" t="s">
        <v>1569</v>
      </c>
      <c r="D779" t="s">
        <v>39</v>
      </c>
      <c r="E779" t="s">
        <v>154</v>
      </c>
      <c r="F779" t="s">
        <v>155</v>
      </c>
      <c r="G779" t="s">
        <v>5</v>
      </c>
      <c r="H779">
        <v>4.8</v>
      </c>
      <c r="I779">
        <v>14</v>
      </c>
      <c r="J779">
        <v>172</v>
      </c>
      <c r="K779" t="s">
        <v>42</v>
      </c>
      <c r="L779" t="s">
        <v>64</v>
      </c>
      <c r="M779" t="s">
        <v>44</v>
      </c>
      <c r="N779">
        <v>4.5</v>
      </c>
      <c r="O779">
        <v>4.8</v>
      </c>
    </row>
    <row r="780" spans="1:15" x14ac:dyDescent="0.3">
      <c r="A780" t="s">
        <v>1570</v>
      </c>
      <c r="B780" t="s">
        <v>689</v>
      </c>
      <c r="C780" t="s">
        <v>74</v>
      </c>
      <c r="D780" t="s">
        <v>81</v>
      </c>
      <c r="E780" t="s">
        <v>134</v>
      </c>
      <c r="F780" t="s">
        <v>90</v>
      </c>
      <c r="G780" t="s">
        <v>6</v>
      </c>
      <c r="H780">
        <v>2.1</v>
      </c>
      <c r="I780">
        <v>8</v>
      </c>
      <c r="J780">
        <v>90</v>
      </c>
      <c r="K780" t="s">
        <v>42</v>
      </c>
      <c r="L780" t="s">
        <v>78</v>
      </c>
      <c r="M780" t="s">
        <v>44</v>
      </c>
      <c r="N780">
        <v>4.3</v>
      </c>
      <c r="O780">
        <v>4.5999999999999996</v>
      </c>
    </row>
    <row r="781" spans="1:15" x14ac:dyDescent="0.3">
      <c r="A781" t="s">
        <v>1571</v>
      </c>
      <c r="B781" t="s">
        <v>441</v>
      </c>
      <c r="C781" t="s">
        <v>137</v>
      </c>
      <c r="D781" t="s">
        <v>75</v>
      </c>
      <c r="E781" t="s">
        <v>146</v>
      </c>
      <c r="F781" t="s">
        <v>313</v>
      </c>
      <c r="G781" t="s">
        <v>6</v>
      </c>
      <c r="H781">
        <v>8.3000000000000007</v>
      </c>
      <c r="I781">
        <v>19</v>
      </c>
      <c r="J781">
        <v>228</v>
      </c>
      <c r="K781" t="s">
        <v>33</v>
      </c>
      <c r="L781" t="s">
        <v>43</v>
      </c>
      <c r="M781" t="s">
        <v>44</v>
      </c>
      <c r="N781">
        <v>4.4000000000000004</v>
      </c>
      <c r="O781">
        <v>4.9000000000000004</v>
      </c>
    </row>
    <row r="782" spans="1:15" x14ac:dyDescent="0.3">
      <c r="A782" t="s">
        <v>1572</v>
      </c>
      <c r="B782" t="s">
        <v>510</v>
      </c>
      <c r="C782" t="s">
        <v>38</v>
      </c>
      <c r="D782" t="s">
        <v>106</v>
      </c>
      <c r="E782" t="s">
        <v>168</v>
      </c>
      <c r="F782" t="s">
        <v>290</v>
      </c>
      <c r="G782" t="s">
        <v>4</v>
      </c>
      <c r="H782">
        <v>4.5</v>
      </c>
      <c r="I782">
        <v>17</v>
      </c>
      <c r="J782">
        <v>246</v>
      </c>
      <c r="K782" t="s">
        <v>33</v>
      </c>
      <c r="L782" t="s">
        <v>43</v>
      </c>
      <c r="M782" t="s">
        <v>44</v>
      </c>
      <c r="N782">
        <v>5</v>
      </c>
      <c r="O782">
        <v>4.8</v>
      </c>
    </row>
    <row r="783" spans="1:15" x14ac:dyDescent="0.3">
      <c r="A783" t="s">
        <v>1573</v>
      </c>
      <c r="B783" t="s">
        <v>170</v>
      </c>
      <c r="C783" t="s">
        <v>1574</v>
      </c>
      <c r="D783" t="s">
        <v>81</v>
      </c>
      <c r="E783" t="s">
        <v>90</v>
      </c>
      <c r="F783" t="s">
        <v>134</v>
      </c>
      <c r="G783" t="s">
        <v>6</v>
      </c>
      <c r="H783">
        <v>10.7</v>
      </c>
      <c r="I783">
        <v>29</v>
      </c>
      <c r="J783">
        <v>213</v>
      </c>
      <c r="K783" t="s">
        <v>375</v>
      </c>
      <c r="L783" t="s">
        <v>49</v>
      </c>
      <c r="M783" t="s">
        <v>44</v>
      </c>
      <c r="N783">
        <v>4.5999999999999996</v>
      </c>
      <c r="O783">
        <v>5</v>
      </c>
    </row>
    <row r="784" spans="1:15" x14ac:dyDescent="0.3">
      <c r="A784" t="s">
        <v>1575</v>
      </c>
      <c r="B784" t="s">
        <v>93</v>
      </c>
      <c r="C784" t="s">
        <v>259</v>
      </c>
      <c r="D784" t="s">
        <v>158</v>
      </c>
      <c r="E784" t="s">
        <v>319</v>
      </c>
      <c r="F784" t="s">
        <v>159</v>
      </c>
      <c r="G784" t="s">
        <v>3</v>
      </c>
      <c r="H784">
        <v>1.4</v>
      </c>
      <c r="I784">
        <v>6</v>
      </c>
      <c r="J784">
        <v>223</v>
      </c>
      <c r="K784" t="s">
        <v>33</v>
      </c>
      <c r="L784" t="s">
        <v>34</v>
      </c>
      <c r="M784" t="s">
        <v>35</v>
      </c>
      <c r="N784">
        <v>4.9000000000000004</v>
      </c>
      <c r="O784">
        <v>4.7</v>
      </c>
    </row>
    <row r="785" spans="1:15" x14ac:dyDescent="0.3">
      <c r="A785" t="s">
        <v>1576</v>
      </c>
      <c r="B785" t="s">
        <v>122</v>
      </c>
      <c r="C785" t="s">
        <v>1532</v>
      </c>
      <c r="D785" t="s">
        <v>30</v>
      </c>
      <c r="E785" t="s">
        <v>31</v>
      </c>
      <c r="F785" t="s">
        <v>100</v>
      </c>
      <c r="G785" t="s">
        <v>6</v>
      </c>
      <c r="H785">
        <v>2.7</v>
      </c>
      <c r="I785">
        <v>8</v>
      </c>
      <c r="J785">
        <v>139</v>
      </c>
      <c r="K785" t="s">
        <v>33</v>
      </c>
      <c r="L785" t="s">
        <v>71</v>
      </c>
      <c r="M785" t="s">
        <v>44</v>
      </c>
      <c r="N785">
        <v>4.3</v>
      </c>
      <c r="O785">
        <v>4.7</v>
      </c>
    </row>
    <row r="786" spans="1:15" x14ac:dyDescent="0.3">
      <c r="A786" t="s">
        <v>1577</v>
      </c>
      <c r="B786" t="s">
        <v>370</v>
      </c>
      <c r="C786" t="s">
        <v>1224</v>
      </c>
      <c r="D786" t="s">
        <v>53</v>
      </c>
      <c r="E786" t="s">
        <v>55</v>
      </c>
      <c r="F786" t="s">
        <v>405</v>
      </c>
      <c r="G786" t="s">
        <v>6</v>
      </c>
      <c r="H786">
        <v>12.8</v>
      </c>
      <c r="I786">
        <v>40</v>
      </c>
      <c r="J786">
        <v>335</v>
      </c>
      <c r="K786" t="s">
        <v>102</v>
      </c>
      <c r="L786" t="s">
        <v>43</v>
      </c>
      <c r="M786" t="s">
        <v>44</v>
      </c>
      <c r="N786">
        <v>5</v>
      </c>
      <c r="O786">
        <v>4.7</v>
      </c>
    </row>
    <row r="787" spans="1:15" x14ac:dyDescent="0.3">
      <c r="A787" t="s">
        <v>1578</v>
      </c>
      <c r="B787" t="s">
        <v>148</v>
      </c>
      <c r="C787" t="s">
        <v>1545</v>
      </c>
      <c r="D787" t="s">
        <v>39</v>
      </c>
      <c r="E787" t="s">
        <v>278</v>
      </c>
      <c r="F787" t="s">
        <v>484</v>
      </c>
      <c r="G787" t="s">
        <v>7</v>
      </c>
      <c r="H787">
        <v>4.8</v>
      </c>
      <c r="I787">
        <v>15</v>
      </c>
      <c r="J787">
        <v>204</v>
      </c>
      <c r="K787" t="s">
        <v>102</v>
      </c>
      <c r="L787" t="s">
        <v>49</v>
      </c>
      <c r="M787" t="s">
        <v>44</v>
      </c>
      <c r="N787">
        <v>4.3</v>
      </c>
      <c r="O787">
        <v>4.4000000000000004</v>
      </c>
    </row>
    <row r="788" spans="1:15" x14ac:dyDescent="0.3">
      <c r="A788" t="s">
        <v>1579</v>
      </c>
      <c r="B788" t="s">
        <v>66</v>
      </c>
      <c r="C788" t="s">
        <v>1580</v>
      </c>
      <c r="D788" t="s">
        <v>158</v>
      </c>
      <c r="E788" t="s">
        <v>334</v>
      </c>
      <c r="F788" t="s">
        <v>283</v>
      </c>
      <c r="G788" t="s">
        <v>2</v>
      </c>
      <c r="H788">
        <v>1</v>
      </c>
      <c r="I788">
        <v>7</v>
      </c>
      <c r="J788">
        <v>69</v>
      </c>
      <c r="K788" t="s">
        <v>102</v>
      </c>
      <c r="L788" t="s">
        <v>43</v>
      </c>
      <c r="M788" t="s">
        <v>44</v>
      </c>
      <c r="N788">
        <v>5</v>
      </c>
      <c r="O788">
        <v>5</v>
      </c>
    </row>
    <row r="789" spans="1:15" x14ac:dyDescent="0.3">
      <c r="A789" t="s">
        <v>1581</v>
      </c>
      <c r="B789" t="s">
        <v>110</v>
      </c>
      <c r="C789" t="s">
        <v>1582</v>
      </c>
      <c r="D789" t="s">
        <v>106</v>
      </c>
      <c r="E789" t="s">
        <v>168</v>
      </c>
      <c r="F789" t="s">
        <v>187</v>
      </c>
      <c r="G789" t="s">
        <v>6</v>
      </c>
      <c r="H789">
        <v>12.8</v>
      </c>
      <c r="I789">
        <v>23</v>
      </c>
      <c r="J789">
        <v>378</v>
      </c>
      <c r="K789" t="s">
        <v>33</v>
      </c>
      <c r="L789" t="s">
        <v>71</v>
      </c>
      <c r="M789" t="s">
        <v>44</v>
      </c>
      <c r="N789">
        <v>4.7</v>
      </c>
      <c r="O789">
        <v>4.7</v>
      </c>
    </row>
    <row r="790" spans="1:15" x14ac:dyDescent="0.3">
      <c r="A790" t="s">
        <v>1583</v>
      </c>
      <c r="B790" t="s">
        <v>373</v>
      </c>
      <c r="C790" t="s">
        <v>980</v>
      </c>
      <c r="D790" t="s">
        <v>30</v>
      </c>
      <c r="E790" t="s">
        <v>112</v>
      </c>
      <c r="F790" t="s">
        <v>31</v>
      </c>
      <c r="G790" t="s">
        <v>7</v>
      </c>
      <c r="H790">
        <v>2.9</v>
      </c>
      <c r="I790">
        <v>10</v>
      </c>
      <c r="J790">
        <v>147</v>
      </c>
      <c r="K790" t="s">
        <v>33</v>
      </c>
      <c r="L790" t="s">
        <v>64</v>
      </c>
      <c r="M790" t="s">
        <v>44</v>
      </c>
      <c r="N790">
        <v>4.9000000000000004</v>
      </c>
      <c r="O790">
        <v>4.5999999999999996</v>
      </c>
    </row>
    <row r="791" spans="1:15" x14ac:dyDescent="0.3">
      <c r="A791" t="s">
        <v>1584</v>
      </c>
      <c r="B791" t="s">
        <v>536</v>
      </c>
      <c r="C791" t="s">
        <v>1477</v>
      </c>
      <c r="D791" t="s">
        <v>53</v>
      </c>
      <c r="E791" t="s">
        <v>515</v>
      </c>
      <c r="F791" t="s">
        <v>54</v>
      </c>
      <c r="G791" t="s">
        <v>7</v>
      </c>
      <c r="H791">
        <v>4.4000000000000004</v>
      </c>
      <c r="I791">
        <v>12</v>
      </c>
      <c r="J791">
        <v>149</v>
      </c>
      <c r="K791" t="s">
        <v>33</v>
      </c>
      <c r="L791" t="s">
        <v>78</v>
      </c>
      <c r="M791" t="s">
        <v>44</v>
      </c>
      <c r="N791">
        <v>4.9000000000000004</v>
      </c>
      <c r="O791">
        <v>4.9000000000000004</v>
      </c>
    </row>
    <row r="792" spans="1:15" x14ac:dyDescent="0.3">
      <c r="A792" t="s">
        <v>1585</v>
      </c>
      <c r="B792" t="s">
        <v>297</v>
      </c>
      <c r="C792" t="s">
        <v>708</v>
      </c>
      <c r="D792" t="s">
        <v>68</v>
      </c>
      <c r="E792" t="s">
        <v>150</v>
      </c>
      <c r="F792" t="s">
        <v>69</v>
      </c>
      <c r="G792" t="s">
        <v>7</v>
      </c>
      <c r="H792">
        <v>4.5</v>
      </c>
      <c r="I792">
        <v>14</v>
      </c>
      <c r="J792">
        <v>192</v>
      </c>
      <c r="K792" t="s">
        <v>102</v>
      </c>
      <c r="L792" t="s">
        <v>78</v>
      </c>
      <c r="M792" t="s">
        <v>44</v>
      </c>
      <c r="N792">
        <v>4.7</v>
      </c>
      <c r="O792">
        <v>4.8</v>
      </c>
    </row>
    <row r="793" spans="1:15" x14ac:dyDescent="0.3">
      <c r="A793" t="s">
        <v>1586</v>
      </c>
      <c r="B793" t="s">
        <v>545</v>
      </c>
      <c r="C793" t="s">
        <v>1587</v>
      </c>
      <c r="D793" t="s">
        <v>81</v>
      </c>
      <c r="E793" t="s">
        <v>268</v>
      </c>
      <c r="F793" t="s">
        <v>201</v>
      </c>
      <c r="G793" t="s">
        <v>6</v>
      </c>
      <c r="H793">
        <v>6.5</v>
      </c>
      <c r="I793">
        <v>14</v>
      </c>
      <c r="J793">
        <v>176</v>
      </c>
      <c r="K793" t="s">
        <v>33</v>
      </c>
      <c r="L793" t="s">
        <v>49</v>
      </c>
      <c r="M793" t="s">
        <v>44</v>
      </c>
      <c r="N793">
        <v>4.4000000000000004</v>
      </c>
      <c r="O793">
        <v>5</v>
      </c>
    </row>
    <row r="794" spans="1:15" x14ac:dyDescent="0.3">
      <c r="A794" t="s">
        <v>1588</v>
      </c>
      <c r="B794" t="s">
        <v>510</v>
      </c>
      <c r="C794" t="s">
        <v>795</v>
      </c>
      <c r="D794" t="s">
        <v>75</v>
      </c>
      <c r="E794" t="s">
        <v>239</v>
      </c>
      <c r="F794" t="s">
        <v>146</v>
      </c>
      <c r="G794" t="s">
        <v>6</v>
      </c>
      <c r="H794">
        <v>3.4</v>
      </c>
      <c r="I794">
        <v>13</v>
      </c>
      <c r="J794">
        <v>110</v>
      </c>
      <c r="K794" t="s">
        <v>102</v>
      </c>
      <c r="L794" t="s">
        <v>78</v>
      </c>
      <c r="M794" t="s">
        <v>44</v>
      </c>
      <c r="N794">
        <v>4.8</v>
      </c>
      <c r="O794">
        <v>4.5</v>
      </c>
    </row>
    <row r="795" spans="1:15" x14ac:dyDescent="0.3">
      <c r="A795" t="s">
        <v>1589</v>
      </c>
      <c r="B795" t="s">
        <v>88</v>
      </c>
      <c r="C795" t="s">
        <v>1590</v>
      </c>
      <c r="D795" t="s">
        <v>75</v>
      </c>
      <c r="E795" t="s">
        <v>394</v>
      </c>
      <c r="F795" t="s">
        <v>313</v>
      </c>
      <c r="G795" t="s">
        <v>3</v>
      </c>
      <c r="H795">
        <v>4.7</v>
      </c>
      <c r="I795">
        <v>12</v>
      </c>
      <c r="J795">
        <v>362</v>
      </c>
      <c r="K795" t="s">
        <v>42</v>
      </c>
      <c r="L795" t="s">
        <v>71</v>
      </c>
      <c r="M795" t="s">
        <v>44</v>
      </c>
      <c r="N795">
        <v>4.9000000000000004</v>
      </c>
      <c r="O795">
        <v>4.8</v>
      </c>
    </row>
    <row r="796" spans="1:15" x14ac:dyDescent="0.3">
      <c r="A796" t="s">
        <v>1591</v>
      </c>
      <c r="B796" t="s">
        <v>225</v>
      </c>
      <c r="C796" t="s">
        <v>1592</v>
      </c>
      <c r="D796" t="s">
        <v>61</v>
      </c>
      <c r="E796" t="s">
        <v>116</v>
      </c>
      <c r="F796" t="s">
        <v>96</v>
      </c>
      <c r="G796" t="s">
        <v>6</v>
      </c>
      <c r="H796">
        <v>11.3</v>
      </c>
      <c r="I796">
        <v>17</v>
      </c>
      <c r="J796">
        <v>303</v>
      </c>
      <c r="K796" t="s">
        <v>102</v>
      </c>
      <c r="L796" t="s">
        <v>64</v>
      </c>
      <c r="M796" t="s">
        <v>44</v>
      </c>
      <c r="N796">
        <v>5</v>
      </c>
      <c r="O796">
        <v>4.8</v>
      </c>
    </row>
    <row r="797" spans="1:15" x14ac:dyDescent="0.3">
      <c r="A797" t="s">
        <v>1593</v>
      </c>
      <c r="B797" t="s">
        <v>647</v>
      </c>
      <c r="C797" t="s">
        <v>1551</v>
      </c>
      <c r="D797" t="s">
        <v>158</v>
      </c>
      <c r="E797" t="s">
        <v>334</v>
      </c>
      <c r="F797" t="s">
        <v>262</v>
      </c>
      <c r="G797" t="s">
        <v>6</v>
      </c>
      <c r="H797">
        <v>1.7</v>
      </c>
      <c r="I797">
        <v>12</v>
      </c>
      <c r="J797">
        <v>105</v>
      </c>
      <c r="K797" t="s">
        <v>56</v>
      </c>
      <c r="L797" t="s">
        <v>64</v>
      </c>
      <c r="M797" t="s">
        <v>44</v>
      </c>
      <c r="N797">
        <v>4.8</v>
      </c>
      <c r="O797">
        <v>4.5</v>
      </c>
    </row>
    <row r="798" spans="1:15" x14ac:dyDescent="0.3">
      <c r="A798" t="s">
        <v>1594</v>
      </c>
      <c r="B798" t="s">
        <v>66</v>
      </c>
      <c r="C798" t="s">
        <v>645</v>
      </c>
      <c r="D798" t="s">
        <v>53</v>
      </c>
      <c r="E798" t="s">
        <v>220</v>
      </c>
      <c r="F798" t="s">
        <v>86</v>
      </c>
      <c r="G798" t="s">
        <v>2</v>
      </c>
      <c r="H798">
        <v>5.8</v>
      </c>
      <c r="I798">
        <v>15</v>
      </c>
      <c r="J798">
        <v>114</v>
      </c>
      <c r="K798" t="s">
        <v>33</v>
      </c>
      <c r="L798" t="s">
        <v>34</v>
      </c>
      <c r="M798" t="s">
        <v>35</v>
      </c>
      <c r="N798">
        <v>4.7</v>
      </c>
      <c r="O798">
        <v>5</v>
      </c>
    </row>
    <row r="799" spans="1:15" x14ac:dyDescent="0.3">
      <c r="A799" t="s">
        <v>1595</v>
      </c>
      <c r="B799" t="s">
        <v>407</v>
      </c>
      <c r="C799" t="s">
        <v>1497</v>
      </c>
      <c r="D799" t="s">
        <v>81</v>
      </c>
      <c r="E799" t="s">
        <v>83</v>
      </c>
      <c r="F799" t="s">
        <v>91</v>
      </c>
      <c r="G799" t="s">
        <v>2</v>
      </c>
      <c r="H799">
        <v>15.4</v>
      </c>
      <c r="I799">
        <v>42</v>
      </c>
      <c r="J799">
        <v>197</v>
      </c>
      <c r="K799" t="s">
        <v>33</v>
      </c>
      <c r="L799" t="s">
        <v>49</v>
      </c>
      <c r="M799" t="s">
        <v>44</v>
      </c>
      <c r="N799">
        <v>4.8</v>
      </c>
      <c r="O799">
        <v>4.8</v>
      </c>
    </row>
    <row r="800" spans="1:15" x14ac:dyDescent="0.3">
      <c r="A800" t="s">
        <v>1596</v>
      </c>
      <c r="B800" t="s">
        <v>88</v>
      </c>
      <c r="C800" t="s">
        <v>1597</v>
      </c>
      <c r="D800" t="s">
        <v>39</v>
      </c>
      <c r="E800" t="s">
        <v>48</v>
      </c>
      <c r="F800" t="s">
        <v>356</v>
      </c>
      <c r="G800" t="s">
        <v>4</v>
      </c>
      <c r="H800">
        <v>7</v>
      </c>
      <c r="I800">
        <v>18</v>
      </c>
      <c r="J800">
        <v>226</v>
      </c>
      <c r="K800" t="s">
        <v>33</v>
      </c>
      <c r="L800" t="s">
        <v>161</v>
      </c>
      <c r="M800" t="s">
        <v>35</v>
      </c>
      <c r="N800">
        <v>4.5999999999999996</v>
      </c>
      <c r="O800">
        <v>5</v>
      </c>
    </row>
    <row r="801" spans="1:15" x14ac:dyDescent="0.3">
      <c r="A801" t="s">
        <v>1598</v>
      </c>
      <c r="B801" t="s">
        <v>510</v>
      </c>
      <c r="C801" t="s">
        <v>1599</v>
      </c>
      <c r="D801" t="s">
        <v>53</v>
      </c>
      <c r="E801" t="s">
        <v>221</v>
      </c>
      <c r="F801" t="s">
        <v>236</v>
      </c>
      <c r="G801" t="s">
        <v>4</v>
      </c>
      <c r="H801">
        <v>11.3</v>
      </c>
      <c r="I801">
        <v>20</v>
      </c>
      <c r="J801">
        <v>320</v>
      </c>
      <c r="K801" t="s">
        <v>42</v>
      </c>
      <c r="L801" t="s">
        <v>64</v>
      </c>
      <c r="M801" t="s">
        <v>44</v>
      </c>
      <c r="N801">
        <v>4.7</v>
      </c>
      <c r="O801">
        <v>4.8</v>
      </c>
    </row>
    <row r="802" spans="1:15" x14ac:dyDescent="0.3">
      <c r="A802" t="s">
        <v>1600</v>
      </c>
      <c r="B802" t="s">
        <v>510</v>
      </c>
      <c r="C802" t="s">
        <v>486</v>
      </c>
      <c r="D802" t="s">
        <v>30</v>
      </c>
      <c r="E802" t="s">
        <v>100</v>
      </c>
      <c r="F802" t="s">
        <v>142</v>
      </c>
      <c r="G802" t="s">
        <v>6</v>
      </c>
      <c r="H802">
        <v>9.3000000000000007</v>
      </c>
      <c r="I802">
        <v>27</v>
      </c>
      <c r="J802">
        <v>251</v>
      </c>
      <c r="K802" t="s">
        <v>33</v>
      </c>
      <c r="L802" t="s">
        <v>64</v>
      </c>
      <c r="M802" t="s">
        <v>44</v>
      </c>
      <c r="N802">
        <v>5</v>
      </c>
      <c r="O802">
        <v>4.9000000000000004</v>
      </c>
    </row>
    <row r="803" spans="1:15" x14ac:dyDescent="0.3">
      <c r="A803" t="s">
        <v>1601</v>
      </c>
      <c r="B803" t="s">
        <v>397</v>
      </c>
      <c r="C803" t="s">
        <v>1564</v>
      </c>
      <c r="D803" t="s">
        <v>81</v>
      </c>
      <c r="E803" t="s">
        <v>201</v>
      </c>
      <c r="F803" t="s">
        <v>83</v>
      </c>
      <c r="G803" t="s">
        <v>5</v>
      </c>
      <c r="H803">
        <v>11</v>
      </c>
      <c r="I803">
        <v>23</v>
      </c>
      <c r="J803">
        <v>356</v>
      </c>
      <c r="K803" t="s">
        <v>33</v>
      </c>
      <c r="L803" t="s">
        <v>43</v>
      </c>
      <c r="M803" t="s">
        <v>44</v>
      </c>
      <c r="N803">
        <v>5</v>
      </c>
      <c r="O803">
        <v>4.5999999999999996</v>
      </c>
    </row>
    <row r="804" spans="1:15" x14ac:dyDescent="0.3">
      <c r="A804" t="s">
        <v>1602</v>
      </c>
      <c r="B804" t="s">
        <v>249</v>
      </c>
      <c r="C804" t="s">
        <v>1603</v>
      </c>
      <c r="D804" t="s">
        <v>106</v>
      </c>
      <c r="E804" t="s">
        <v>168</v>
      </c>
      <c r="F804" t="s">
        <v>290</v>
      </c>
      <c r="G804" t="s">
        <v>3</v>
      </c>
      <c r="H804">
        <v>1</v>
      </c>
      <c r="I804">
        <v>5</v>
      </c>
      <c r="J804">
        <v>182</v>
      </c>
      <c r="K804" t="s">
        <v>33</v>
      </c>
      <c r="L804" t="s">
        <v>43</v>
      </c>
      <c r="M804" t="s">
        <v>44</v>
      </c>
      <c r="N804">
        <v>4.3</v>
      </c>
      <c r="O804">
        <v>4.8</v>
      </c>
    </row>
    <row r="805" spans="1:15" x14ac:dyDescent="0.3">
      <c r="A805" t="s">
        <v>1604</v>
      </c>
      <c r="B805" t="s">
        <v>170</v>
      </c>
      <c r="C805" t="s">
        <v>1605</v>
      </c>
      <c r="D805" t="s">
        <v>39</v>
      </c>
      <c r="E805" t="s">
        <v>278</v>
      </c>
      <c r="F805" t="s">
        <v>41</v>
      </c>
      <c r="G805" t="s">
        <v>6</v>
      </c>
      <c r="H805">
        <v>1</v>
      </c>
      <c r="I805">
        <v>11</v>
      </c>
      <c r="J805">
        <v>99</v>
      </c>
      <c r="K805" t="s">
        <v>102</v>
      </c>
      <c r="L805" t="s">
        <v>71</v>
      </c>
      <c r="M805" t="s">
        <v>44</v>
      </c>
      <c r="N805">
        <v>4.7</v>
      </c>
      <c r="O805">
        <v>5</v>
      </c>
    </row>
    <row r="806" spans="1:15" x14ac:dyDescent="0.3">
      <c r="A806" t="s">
        <v>1606</v>
      </c>
      <c r="B806" t="s">
        <v>727</v>
      </c>
      <c r="C806" t="s">
        <v>1607</v>
      </c>
      <c r="D806" t="s">
        <v>106</v>
      </c>
      <c r="E806" t="s">
        <v>108</v>
      </c>
      <c r="F806" t="s">
        <v>187</v>
      </c>
      <c r="G806" t="s">
        <v>7</v>
      </c>
      <c r="H806">
        <v>2</v>
      </c>
      <c r="I806">
        <v>11</v>
      </c>
      <c r="J806">
        <v>98</v>
      </c>
      <c r="K806" t="s">
        <v>33</v>
      </c>
      <c r="L806" t="s">
        <v>64</v>
      </c>
      <c r="M806" t="s">
        <v>44</v>
      </c>
      <c r="N806">
        <v>5</v>
      </c>
      <c r="O806">
        <v>4.7</v>
      </c>
    </row>
    <row r="807" spans="1:15" x14ac:dyDescent="0.3">
      <c r="A807" t="s">
        <v>1608</v>
      </c>
      <c r="B807" t="s">
        <v>205</v>
      </c>
      <c r="C807" t="s">
        <v>1609</v>
      </c>
      <c r="D807" t="s">
        <v>75</v>
      </c>
      <c r="E807" t="s">
        <v>230</v>
      </c>
      <c r="F807" t="s">
        <v>239</v>
      </c>
      <c r="G807" t="s">
        <v>7</v>
      </c>
      <c r="H807">
        <v>5.4</v>
      </c>
      <c r="I807">
        <v>7</v>
      </c>
      <c r="J807">
        <v>187</v>
      </c>
      <c r="K807" t="s">
        <v>42</v>
      </c>
      <c r="L807" t="s">
        <v>78</v>
      </c>
      <c r="M807" t="s">
        <v>44</v>
      </c>
      <c r="N807">
        <v>4.5999999999999996</v>
      </c>
      <c r="O807">
        <v>5</v>
      </c>
    </row>
    <row r="808" spans="1:15" x14ac:dyDescent="0.3">
      <c r="A808" t="s">
        <v>1610</v>
      </c>
      <c r="B808" t="s">
        <v>306</v>
      </c>
      <c r="C808" t="s">
        <v>1611</v>
      </c>
      <c r="D808" t="s">
        <v>39</v>
      </c>
      <c r="E808" t="s">
        <v>278</v>
      </c>
      <c r="F808" t="s">
        <v>155</v>
      </c>
      <c r="G808" t="s">
        <v>6</v>
      </c>
      <c r="H808">
        <v>3.3</v>
      </c>
      <c r="I808">
        <v>9</v>
      </c>
      <c r="J808">
        <v>105</v>
      </c>
      <c r="K808" t="s">
        <v>33</v>
      </c>
      <c r="L808" t="s">
        <v>34</v>
      </c>
      <c r="M808" t="s">
        <v>35</v>
      </c>
      <c r="N808">
        <v>5</v>
      </c>
      <c r="O808">
        <v>4.7</v>
      </c>
    </row>
    <row r="809" spans="1:15" x14ac:dyDescent="0.3">
      <c r="A809" t="s">
        <v>1612</v>
      </c>
      <c r="B809" t="s">
        <v>808</v>
      </c>
      <c r="C809" t="s">
        <v>1613</v>
      </c>
      <c r="D809" t="s">
        <v>75</v>
      </c>
      <c r="E809" t="s">
        <v>230</v>
      </c>
      <c r="F809" t="s">
        <v>578</v>
      </c>
      <c r="G809" t="s">
        <v>2</v>
      </c>
      <c r="H809">
        <v>1.7</v>
      </c>
      <c r="I809">
        <v>5</v>
      </c>
      <c r="J809">
        <v>63</v>
      </c>
      <c r="K809" t="s">
        <v>42</v>
      </c>
      <c r="L809" t="s">
        <v>64</v>
      </c>
      <c r="M809" t="s">
        <v>44</v>
      </c>
      <c r="N809">
        <v>4.5999999999999996</v>
      </c>
      <c r="O809">
        <v>4.5999999999999996</v>
      </c>
    </row>
    <row r="810" spans="1:15" x14ac:dyDescent="0.3">
      <c r="A810" t="s">
        <v>1614</v>
      </c>
      <c r="B810" t="s">
        <v>604</v>
      </c>
      <c r="C810" t="s">
        <v>1155</v>
      </c>
      <c r="D810" t="s">
        <v>81</v>
      </c>
      <c r="E810" t="s">
        <v>351</v>
      </c>
      <c r="F810" t="s">
        <v>268</v>
      </c>
      <c r="G810" t="s">
        <v>4</v>
      </c>
      <c r="H810">
        <v>1.8</v>
      </c>
      <c r="I810">
        <v>9</v>
      </c>
      <c r="J810">
        <v>156</v>
      </c>
      <c r="K810" t="s">
        <v>33</v>
      </c>
      <c r="L810" t="s">
        <v>78</v>
      </c>
      <c r="M810" t="s">
        <v>44</v>
      </c>
      <c r="N810">
        <v>4.5</v>
      </c>
      <c r="O810">
        <v>4.9000000000000004</v>
      </c>
    </row>
    <row r="811" spans="1:15" x14ac:dyDescent="0.3">
      <c r="A811" t="s">
        <v>1615</v>
      </c>
      <c r="B811" t="s">
        <v>170</v>
      </c>
      <c r="C811" t="s">
        <v>1616</v>
      </c>
      <c r="D811" t="s">
        <v>53</v>
      </c>
      <c r="E811" t="s">
        <v>236</v>
      </c>
      <c r="F811" t="s">
        <v>54</v>
      </c>
      <c r="G811" t="s">
        <v>5</v>
      </c>
      <c r="H811">
        <v>8.6</v>
      </c>
      <c r="I811">
        <v>23</v>
      </c>
      <c r="J811">
        <v>234</v>
      </c>
      <c r="K811" t="s">
        <v>33</v>
      </c>
      <c r="L811" t="s">
        <v>57</v>
      </c>
      <c r="M811" t="s">
        <v>35</v>
      </c>
      <c r="N811">
        <v>5</v>
      </c>
      <c r="O811">
        <v>4.7</v>
      </c>
    </row>
    <row r="812" spans="1:15" x14ac:dyDescent="0.3">
      <c r="A812" t="s">
        <v>1617</v>
      </c>
      <c r="B812" t="s">
        <v>422</v>
      </c>
      <c r="C812" t="s">
        <v>534</v>
      </c>
      <c r="D812" t="s">
        <v>39</v>
      </c>
      <c r="E812" t="s">
        <v>154</v>
      </c>
      <c r="F812" t="s">
        <v>356</v>
      </c>
      <c r="G812" t="s">
        <v>5</v>
      </c>
      <c r="H812">
        <v>5.2</v>
      </c>
      <c r="I812">
        <v>13</v>
      </c>
      <c r="J812">
        <v>200</v>
      </c>
      <c r="K812" t="s">
        <v>33</v>
      </c>
      <c r="L812" t="s">
        <v>49</v>
      </c>
      <c r="M812" t="s">
        <v>44</v>
      </c>
      <c r="N812">
        <v>5</v>
      </c>
      <c r="O812">
        <v>4.8</v>
      </c>
    </row>
    <row r="813" spans="1:15" x14ac:dyDescent="0.3">
      <c r="A813" t="s">
        <v>1618</v>
      </c>
      <c r="B813" t="s">
        <v>422</v>
      </c>
      <c r="C813" t="s">
        <v>1619</v>
      </c>
      <c r="D813" t="s">
        <v>61</v>
      </c>
      <c r="E813" t="s">
        <v>191</v>
      </c>
      <c r="F813" t="s">
        <v>183</v>
      </c>
      <c r="G813" t="s">
        <v>7</v>
      </c>
      <c r="H813">
        <v>6.5</v>
      </c>
      <c r="I813">
        <v>13</v>
      </c>
      <c r="J813">
        <v>304</v>
      </c>
      <c r="K813" t="s">
        <v>42</v>
      </c>
      <c r="L813" t="s">
        <v>71</v>
      </c>
      <c r="M813" t="s">
        <v>44</v>
      </c>
      <c r="N813">
        <v>4.3</v>
      </c>
      <c r="O813">
        <v>4.7</v>
      </c>
    </row>
    <row r="814" spans="1:15" x14ac:dyDescent="0.3">
      <c r="A814" t="s">
        <v>1620</v>
      </c>
      <c r="B814" t="s">
        <v>300</v>
      </c>
      <c r="C814" t="s">
        <v>1129</v>
      </c>
      <c r="D814" t="s">
        <v>106</v>
      </c>
      <c r="E814" t="s">
        <v>290</v>
      </c>
      <c r="F814" t="s">
        <v>168</v>
      </c>
      <c r="G814" t="s">
        <v>6</v>
      </c>
      <c r="H814">
        <v>8.6999999999999993</v>
      </c>
      <c r="I814">
        <v>11</v>
      </c>
      <c r="J814">
        <v>179</v>
      </c>
      <c r="K814" t="s">
        <v>33</v>
      </c>
      <c r="L814" t="s">
        <v>34</v>
      </c>
      <c r="M814" t="s">
        <v>35</v>
      </c>
      <c r="N814">
        <v>5</v>
      </c>
      <c r="O814">
        <v>5</v>
      </c>
    </row>
    <row r="815" spans="1:15" x14ac:dyDescent="0.3">
      <c r="A815" t="s">
        <v>1621</v>
      </c>
      <c r="B815" t="s">
        <v>148</v>
      </c>
      <c r="C815" t="s">
        <v>94</v>
      </c>
      <c r="D815" t="s">
        <v>68</v>
      </c>
      <c r="E815" t="s">
        <v>172</v>
      </c>
      <c r="F815" t="s">
        <v>150</v>
      </c>
      <c r="G815" t="s">
        <v>6</v>
      </c>
      <c r="H815">
        <v>3</v>
      </c>
      <c r="I815">
        <v>9</v>
      </c>
      <c r="J815">
        <v>127</v>
      </c>
      <c r="K815" t="s">
        <v>33</v>
      </c>
      <c r="L815" t="s">
        <v>43</v>
      </c>
      <c r="M815" t="s">
        <v>44</v>
      </c>
      <c r="N815">
        <v>4.3</v>
      </c>
      <c r="O815">
        <v>5</v>
      </c>
    </row>
    <row r="816" spans="1:15" x14ac:dyDescent="0.3">
      <c r="A816" t="s">
        <v>1622</v>
      </c>
      <c r="B816" t="s">
        <v>163</v>
      </c>
      <c r="C816" t="s">
        <v>1623</v>
      </c>
      <c r="D816" t="s">
        <v>30</v>
      </c>
      <c r="E816" t="s">
        <v>142</v>
      </c>
      <c r="F816" t="s">
        <v>100</v>
      </c>
      <c r="G816" t="s">
        <v>2</v>
      </c>
      <c r="H816">
        <v>4.5999999999999996</v>
      </c>
      <c r="I816">
        <v>17</v>
      </c>
      <c r="J816">
        <v>133</v>
      </c>
      <c r="K816" t="s">
        <v>33</v>
      </c>
      <c r="L816" t="s">
        <v>71</v>
      </c>
      <c r="M816" t="s">
        <v>44</v>
      </c>
      <c r="N816">
        <v>4.5999999999999996</v>
      </c>
      <c r="O816">
        <v>4.7</v>
      </c>
    </row>
    <row r="817" spans="1:15" x14ac:dyDescent="0.3">
      <c r="A817" t="s">
        <v>1624</v>
      </c>
      <c r="B817" t="s">
        <v>447</v>
      </c>
      <c r="C817" t="s">
        <v>965</v>
      </c>
      <c r="D817" t="s">
        <v>81</v>
      </c>
      <c r="E817" t="s">
        <v>83</v>
      </c>
      <c r="F817" t="s">
        <v>82</v>
      </c>
      <c r="G817" t="s">
        <v>4</v>
      </c>
      <c r="H817">
        <v>13.5</v>
      </c>
      <c r="I817">
        <v>40</v>
      </c>
      <c r="J817">
        <v>383</v>
      </c>
      <c r="K817" t="s">
        <v>42</v>
      </c>
      <c r="L817" t="s">
        <v>78</v>
      </c>
      <c r="M817" t="s">
        <v>44</v>
      </c>
      <c r="N817">
        <v>4.8</v>
      </c>
      <c r="O817">
        <v>4.8</v>
      </c>
    </row>
    <row r="818" spans="1:15" x14ac:dyDescent="0.3">
      <c r="A818" t="s">
        <v>1625</v>
      </c>
      <c r="B818" t="s">
        <v>476</v>
      </c>
      <c r="C818" t="s">
        <v>546</v>
      </c>
      <c r="D818" t="s">
        <v>61</v>
      </c>
      <c r="E818" t="s">
        <v>183</v>
      </c>
      <c r="F818" t="s">
        <v>116</v>
      </c>
      <c r="G818" t="s">
        <v>6</v>
      </c>
      <c r="H818">
        <v>5.8</v>
      </c>
      <c r="I818">
        <v>19</v>
      </c>
      <c r="J818">
        <v>159</v>
      </c>
      <c r="K818" t="s">
        <v>33</v>
      </c>
      <c r="L818" t="s">
        <v>64</v>
      </c>
      <c r="M818" t="s">
        <v>44</v>
      </c>
      <c r="N818">
        <v>4.8</v>
      </c>
      <c r="O818">
        <v>4.7</v>
      </c>
    </row>
    <row r="819" spans="1:15" x14ac:dyDescent="0.3">
      <c r="A819" t="s">
        <v>1626</v>
      </c>
      <c r="B819" t="s">
        <v>853</v>
      </c>
      <c r="C819" t="s">
        <v>1167</v>
      </c>
      <c r="D819" t="s">
        <v>81</v>
      </c>
      <c r="E819" t="s">
        <v>83</v>
      </c>
      <c r="F819" t="s">
        <v>82</v>
      </c>
      <c r="G819" t="s">
        <v>3</v>
      </c>
      <c r="H819">
        <v>2.2000000000000002</v>
      </c>
      <c r="I819">
        <v>6</v>
      </c>
      <c r="J819">
        <v>270</v>
      </c>
      <c r="K819" t="s">
        <v>33</v>
      </c>
      <c r="L819" t="s">
        <v>71</v>
      </c>
      <c r="M819" t="s">
        <v>44</v>
      </c>
      <c r="N819">
        <v>5</v>
      </c>
      <c r="O819">
        <v>4.5999999999999996</v>
      </c>
    </row>
    <row r="820" spans="1:15" x14ac:dyDescent="0.3">
      <c r="A820" t="s">
        <v>1627</v>
      </c>
      <c r="B820" t="s">
        <v>59</v>
      </c>
      <c r="C820" t="s">
        <v>980</v>
      </c>
      <c r="D820" t="s">
        <v>106</v>
      </c>
      <c r="E820" t="s">
        <v>126</v>
      </c>
      <c r="F820" t="s">
        <v>290</v>
      </c>
      <c r="G820" t="s">
        <v>5</v>
      </c>
      <c r="H820">
        <v>2.4</v>
      </c>
      <c r="I820">
        <v>9</v>
      </c>
      <c r="J820">
        <v>98</v>
      </c>
      <c r="K820" t="s">
        <v>42</v>
      </c>
      <c r="L820" t="s">
        <v>64</v>
      </c>
      <c r="M820" t="s">
        <v>44</v>
      </c>
      <c r="N820">
        <v>4.5999999999999996</v>
      </c>
      <c r="O820">
        <v>5</v>
      </c>
    </row>
    <row r="821" spans="1:15" x14ac:dyDescent="0.3">
      <c r="A821" t="s">
        <v>1628</v>
      </c>
      <c r="B821" t="s">
        <v>110</v>
      </c>
      <c r="C821" t="s">
        <v>1629</v>
      </c>
      <c r="D821" t="s">
        <v>81</v>
      </c>
      <c r="E821" t="s">
        <v>82</v>
      </c>
      <c r="F821" t="s">
        <v>83</v>
      </c>
      <c r="G821" t="s">
        <v>6</v>
      </c>
      <c r="H821">
        <v>1.2</v>
      </c>
      <c r="I821">
        <v>16</v>
      </c>
      <c r="J821">
        <v>92</v>
      </c>
      <c r="K821" t="s">
        <v>33</v>
      </c>
      <c r="L821" t="s">
        <v>71</v>
      </c>
      <c r="M821" t="s">
        <v>44</v>
      </c>
      <c r="N821">
        <v>4.4000000000000004</v>
      </c>
      <c r="O821">
        <v>4.5999999999999996</v>
      </c>
    </row>
    <row r="822" spans="1:15" x14ac:dyDescent="0.3">
      <c r="A822" t="s">
        <v>1630</v>
      </c>
      <c r="B822" t="s">
        <v>340</v>
      </c>
      <c r="C822" t="s">
        <v>1631</v>
      </c>
      <c r="D822" t="s">
        <v>68</v>
      </c>
      <c r="E822" t="s">
        <v>210</v>
      </c>
      <c r="F822" t="s">
        <v>130</v>
      </c>
      <c r="G822" t="s">
        <v>7</v>
      </c>
      <c r="H822">
        <v>9.6</v>
      </c>
      <c r="I822">
        <v>23</v>
      </c>
      <c r="J822">
        <v>335</v>
      </c>
      <c r="K822" t="s">
        <v>102</v>
      </c>
      <c r="L822" t="s">
        <v>43</v>
      </c>
      <c r="M822" t="s">
        <v>44</v>
      </c>
      <c r="N822">
        <v>5</v>
      </c>
      <c r="O822">
        <v>4.9000000000000004</v>
      </c>
    </row>
    <row r="823" spans="1:15" x14ac:dyDescent="0.3">
      <c r="A823" t="s">
        <v>1632</v>
      </c>
      <c r="B823" t="s">
        <v>144</v>
      </c>
      <c r="C823" t="s">
        <v>437</v>
      </c>
      <c r="D823" t="s">
        <v>75</v>
      </c>
      <c r="E823" t="s">
        <v>76</v>
      </c>
      <c r="F823" t="s">
        <v>77</v>
      </c>
      <c r="G823" t="s">
        <v>6</v>
      </c>
      <c r="H823">
        <v>13.7</v>
      </c>
      <c r="I823">
        <v>38</v>
      </c>
      <c r="J823">
        <v>331</v>
      </c>
      <c r="K823" t="s">
        <v>33</v>
      </c>
      <c r="L823" t="s">
        <v>43</v>
      </c>
      <c r="M823" t="s">
        <v>44</v>
      </c>
      <c r="N823">
        <v>4.9000000000000004</v>
      </c>
      <c r="O823">
        <v>4.8</v>
      </c>
    </row>
    <row r="824" spans="1:15" x14ac:dyDescent="0.3">
      <c r="A824" t="s">
        <v>1633</v>
      </c>
      <c r="B824" t="s">
        <v>727</v>
      </c>
      <c r="C824" t="s">
        <v>1634</v>
      </c>
      <c r="D824" t="s">
        <v>81</v>
      </c>
      <c r="E824" t="s">
        <v>83</v>
      </c>
      <c r="F824" t="s">
        <v>90</v>
      </c>
      <c r="G824" t="s">
        <v>2</v>
      </c>
      <c r="H824">
        <v>5.8</v>
      </c>
      <c r="I824">
        <v>20</v>
      </c>
      <c r="J824">
        <v>114</v>
      </c>
      <c r="K824" t="s">
        <v>102</v>
      </c>
      <c r="L824" t="s">
        <v>49</v>
      </c>
      <c r="M824" t="s">
        <v>44</v>
      </c>
      <c r="N824">
        <v>4.7</v>
      </c>
      <c r="O824">
        <v>4.4000000000000004</v>
      </c>
    </row>
    <row r="825" spans="1:15" x14ac:dyDescent="0.3">
      <c r="A825" t="s">
        <v>1635</v>
      </c>
      <c r="B825" t="s">
        <v>808</v>
      </c>
      <c r="C825" t="s">
        <v>1366</v>
      </c>
      <c r="D825" t="s">
        <v>68</v>
      </c>
      <c r="E825" t="s">
        <v>195</v>
      </c>
      <c r="F825" t="s">
        <v>70</v>
      </c>
      <c r="G825" t="s">
        <v>3</v>
      </c>
      <c r="H825">
        <v>7.7</v>
      </c>
      <c r="I825">
        <v>21</v>
      </c>
      <c r="J825">
        <v>535</v>
      </c>
      <c r="K825" t="s">
        <v>33</v>
      </c>
      <c r="L825" t="s">
        <v>43</v>
      </c>
      <c r="M825" t="s">
        <v>44</v>
      </c>
      <c r="N825">
        <v>4.9000000000000004</v>
      </c>
      <c r="O825">
        <v>5</v>
      </c>
    </row>
    <row r="826" spans="1:15" x14ac:dyDescent="0.3">
      <c r="A826" t="s">
        <v>1636</v>
      </c>
      <c r="B826" t="s">
        <v>46</v>
      </c>
      <c r="C826" t="s">
        <v>1637</v>
      </c>
      <c r="D826" t="s">
        <v>53</v>
      </c>
      <c r="E826" t="s">
        <v>220</v>
      </c>
      <c r="F826" t="s">
        <v>515</v>
      </c>
      <c r="G826" t="s">
        <v>2</v>
      </c>
      <c r="H826">
        <v>1.1000000000000001</v>
      </c>
      <c r="I826">
        <v>12</v>
      </c>
      <c r="J826">
        <v>66</v>
      </c>
      <c r="K826" t="s">
        <v>33</v>
      </c>
      <c r="L826" t="s">
        <v>71</v>
      </c>
      <c r="M826" t="s">
        <v>44</v>
      </c>
      <c r="N826">
        <v>4.7</v>
      </c>
      <c r="O826">
        <v>4.9000000000000004</v>
      </c>
    </row>
    <row r="827" spans="1:15" x14ac:dyDescent="0.3">
      <c r="A827" t="s">
        <v>1638</v>
      </c>
      <c r="B827" t="s">
        <v>66</v>
      </c>
      <c r="C827" t="s">
        <v>580</v>
      </c>
      <c r="D827" t="s">
        <v>68</v>
      </c>
      <c r="E827" t="s">
        <v>69</v>
      </c>
      <c r="F827" t="s">
        <v>120</v>
      </c>
      <c r="G827" t="s">
        <v>7</v>
      </c>
      <c r="H827">
        <v>9.1</v>
      </c>
      <c r="I827">
        <v>23</v>
      </c>
      <c r="J827">
        <v>367</v>
      </c>
      <c r="K827" t="s">
        <v>33</v>
      </c>
      <c r="L827" t="s">
        <v>71</v>
      </c>
      <c r="M827" t="s">
        <v>44</v>
      </c>
      <c r="N827">
        <v>4.5999999999999996</v>
      </c>
      <c r="O827">
        <v>4.5999999999999996</v>
      </c>
    </row>
    <row r="828" spans="1:15" x14ac:dyDescent="0.3">
      <c r="A828" t="s">
        <v>1639</v>
      </c>
      <c r="B828" t="s">
        <v>286</v>
      </c>
      <c r="C828" t="s">
        <v>1640</v>
      </c>
      <c r="D828" t="s">
        <v>61</v>
      </c>
      <c r="E828" t="s">
        <v>183</v>
      </c>
      <c r="F828" t="s">
        <v>116</v>
      </c>
      <c r="G828" t="s">
        <v>4</v>
      </c>
      <c r="H828">
        <v>5.0999999999999996</v>
      </c>
      <c r="I828">
        <v>17</v>
      </c>
      <c r="J828">
        <v>187</v>
      </c>
      <c r="K828" t="s">
        <v>33</v>
      </c>
      <c r="L828" t="s">
        <v>78</v>
      </c>
      <c r="M828" t="s">
        <v>44</v>
      </c>
      <c r="N828">
        <v>4.9000000000000004</v>
      </c>
      <c r="O828">
        <v>5</v>
      </c>
    </row>
    <row r="829" spans="1:15" x14ac:dyDescent="0.3">
      <c r="A829" t="s">
        <v>1641</v>
      </c>
      <c r="B829" t="s">
        <v>152</v>
      </c>
      <c r="C829" t="s">
        <v>1637</v>
      </c>
      <c r="D829" t="s">
        <v>75</v>
      </c>
      <c r="E829" t="s">
        <v>146</v>
      </c>
      <c r="F829" t="s">
        <v>76</v>
      </c>
      <c r="G829" t="s">
        <v>2</v>
      </c>
      <c r="H829">
        <v>4.5999999999999996</v>
      </c>
      <c r="I829">
        <v>7</v>
      </c>
      <c r="J829">
        <v>127</v>
      </c>
      <c r="K829" t="s">
        <v>33</v>
      </c>
      <c r="L829" t="s">
        <v>71</v>
      </c>
      <c r="M829" t="s">
        <v>44</v>
      </c>
      <c r="N829">
        <v>4.7</v>
      </c>
      <c r="O829">
        <v>4.9000000000000004</v>
      </c>
    </row>
    <row r="830" spans="1:15" x14ac:dyDescent="0.3">
      <c r="A830" t="s">
        <v>1642</v>
      </c>
      <c r="B830" t="s">
        <v>200</v>
      </c>
      <c r="C830" t="s">
        <v>567</v>
      </c>
      <c r="D830" t="s">
        <v>30</v>
      </c>
      <c r="E830" t="s">
        <v>138</v>
      </c>
      <c r="F830" t="s">
        <v>112</v>
      </c>
      <c r="G830" t="s">
        <v>4</v>
      </c>
      <c r="H830">
        <v>2.6</v>
      </c>
      <c r="I830">
        <v>5</v>
      </c>
      <c r="J830">
        <v>143</v>
      </c>
      <c r="K830" t="s">
        <v>192</v>
      </c>
      <c r="L830" t="s">
        <v>64</v>
      </c>
      <c r="M830" t="s">
        <v>44</v>
      </c>
      <c r="N830">
        <v>4.9000000000000004</v>
      </c>
      <c r="O830">
        <v>5</v>
      </c>
    </row>
    <row r="831" spans="1:15" x14ac:dyDescent="0.3">
      <c r="A831" t="s">
        <v>1643</v>
      </c>
      <c r="B831" t="s">
        <v>476</v>
      </c>
      <c r="C831" t="s">
        <v>1644</v>
      </c>
      <c r="D831" t="s">
        <v>75</v>
      </c>
      <c r="E831" t="s">
        <v>230</v>
      </c>
      <c r="F831" t="s">
        <v>313</v>
      </c>
      <c r="G831" t="s">
        <v>6</v>
      </c>
      <c r="H831">
        <v>3.7</v>
      </c>
      <c r="I831">
        <v>16</v>
      </c>
      <c r="J831">
        <v>121</v>
      </c>
      <c r="K831" t="s">
        <v>33</v>
      </c>
      <c r="L831" t="s">
        <v>57</v>
      </c>
      <c r="M831" t="s">
        <v>35</v>
      </c>
      <c r="N831">
        <v>4.8</v>
      </c>
      <c r="O831">
        <v>4.9000000000000004</v>
      </c>
    </row>
    <row r="832" spans="1:15" x14ac:dyDescent="0.3">
      <c r="A832" t="s">
        <v>1645</v>
      </c>
      <c r="B832" t="s">
        <v>166</v>
      </c>
      <c r="C832" t="s">
        <v>1646</v>
      </c>
      <c r="D832" t="s">
        <v>158</v>
      </c>
      <c r="E832" t="s">
        <v>159</v>
      </c>
      <c r="F832" t="s">
        <v>319</v>
      </c>
      <c r="G832" t="s">
        <v>4</v>
      </c>
      <c r="H832">
        <v>1.1000000000000001</v>
      </c>
      <c r="I832">
        <v>6</v>
      </c>
      <c r="J832">
        <v>102</v>
      </c>
      <c r="K832" t="s">
        <v>56</v>
      </c>
      <c r="L832" t="s">
        <v>64</v>
      </c>
      <c r="M832" t="s">
        <v>44</v>
      </c>
      <c r="N832">
        <v>4.5999999999999996</v>
      </c>
      <c r="O832">
        <v>5</v>
      </c>
    </row>
    <row r="833" spans="1:15" x14ac:dyDescent="0.3">
      <c r="A833" t="s">
        <v>1647</v>
      </c>
      <c r="B833" t="s">
        <v>166</v>
      </c>
      <c r="C833" t="s">
        <v>471</v>
      </c>
      <c r="D833" t="s">
        <v>81</v>
      </c>
      <c r="E833" t="s">
        <v>91</v>
      </c>
      <c r="F833" t="s">
        <v>90</v>
      </c>
      <c r="G833" t="s">
        <v>6</v>
      </c>
      <c r="H833">
        <v>7.5</v>
      </c>
      <c r="I833">
        <v>28</v>
      </c>
      <c r="J833">
        <v>187</v>
      </c>
      <c r="K833" t="s">
        <v>33</v>
      </c>
      <c r="L833" t="s">
        <v>71</v>
      </c>
      <c r="M833" t="s">
        <v>44</v>
      </c>
      <c r="N833">
        <v>4.9000000000000004</v>
      </c>
      <c r="O833">
        <v>4.9000000000000004</v>
      </c>
    </row>
    <row r="834" spans="1:15" x14ac:dyDescent="0.3">
      <c r="A834" t="s">
        <v>1648</v>
      </c>
      <c r="B834" t="s">
        <v>422</v>
      </c>
      <c r="C834" t="s">
        <v>1637</v>
      </c>
      <c r="D834" t="s">
        <v>53</v>
      </c>
      <c r="E834" t="s">
        <v>515</v>
      </c>
      <c r="F834" t="s">
        <v>236</v>
      </c>
      <c r="G834" t="s">
        <v>4</v>
      </c>
      <c r="H834">
        <v>2.9</v>
      </c>
      <c r="I834">
        <v>5</v>
      </c>
      <c r="J834">
        <v>186</v>
      </c>
      <c r="K834" t="s">
        <v>33</v>
      </c>
      <c r="L834" t="s">
        <v>71</v>
      </c>
      <c r="M834" t="s">
        <v>44</v>
      </c>
      <c r="N834">
        <v>4.5999999999999996</v>
      </c>
      <c r="O834">
        <v>4.9000000000000004</v>
      </c>
    </row>
    <row r="835" spans="1:15" x14ac:dyDescent="0.3">
      <c r="A835" t="s">
        <v>1649</v>
      </c>
      <c r="B835" t="s">
        <v>197</v>
      </c>
      <c r="C835" t="s">
        <v>1650</v>
      </c>
      <c r="D835" t="s">
        <v>106</v>
      </c>
      <c r="E835" t="s">
        <v>443</v>
      </c>
      <c r="F835" t="s">
        <v>472</v>
      </c>
      <c r="G835" t="s">
        <v>6</v>
      </c>
      <c r="H835">
        <v>3.7</v>
      </c>
      <c r="I835">
        <v>9</v>
      </c>
      <c r="J835">
        <v>110</v>
      </c>
      <c r="K835" t="s">
        <v>33</v>
      </c>
      <c r="L835" t="s">
        <v>49</v>
      </c>
      <c r="M835" t="s">
        <v>44</v>
      </c>
      <c r="N835">
        <v>5</v>
      </c>
      <c r="O835">
        <v>4.7</v>
      </c>
    </row>
    <row r="836" spans="1:15" x14ac:dyDescent="0.3">
      <c r="A836" t="s">
        <v>1651</v>
      </c>
      <c r="B836" t="s">
        <v>264</v>
      </c>
      <c r="C836" t="s">
        <v>1146</v>
      </c>
      <c r="D836" t="s">
        <v>68</v>
      </c>
      <c r="E836" t="s">
        <v>195</v>
      </c>
      <c r="F836" t="s">
        <v>70</v>
      </c>
      <c r="G836" t="s">
        <v>7</v>
      </c>
      <c r="H836">
        <v>2.4</v>
      </c>
      <c r="I836">
        <v>10</v>
      </c>
      <c r="J836">
        <v>172</v>
      </c>
      <c r="K836" t="s">
        <v>42</v>
      </c>
      <c r="L836" t="s">
        <v>64</v>
      </c>
      <c r="M836" t="s">
        <v>44</v>
      </c>
      <c r="N836">
        <v>4.2</v>
      </c>
      <c r="O836">
        <v>4.5999999999999996</v>
      </c>
    </row>
    <row r="837" spans="1:15" x14ac:dyDescent="0.3">
      <c r="A837" t="s">
        <v>1652</v>
      </c>
      <c r="B837" t="s">
        <v>128</v>
      </c>
      <c r="C837" t="s">
        <v>1653</v>
      </c>
      <c r="D837" t="s">
        <v>158</v>
      </c>
      <c r="E837" t="s">
        <v>160</v>
      </c>
      <c r="F837" t="s">
        <v>334</v>
      </c>
      <c r="G837" t="s">
        <v>4</v>
      </c>
      <c r="H837">
        <v>6.4</v>
      </c>
      <c r="I837">
        <v>19</v>
      </c>
      <c r="J837">
        <v>242</v>
      </c>
      <c r="K837" t="s">
        <v>375</v>
      </c>
      <c r="L837" t="s">
        <v>34</v>
      </c>
      <c r="M837" t="s">
        <v>35</v>
      </c>
      <c r="N837">
        <v>5</v>
      </c>
      <c r="O837">
        <v>5</v>
      </c>
    </row>
    <row r="838" spans="1:15" x14ac:dyDescent="0.3">
      <c r="A838" t="s">
        <v>1654</v>
      </c>
      <c r="B838" t="s">
        <v>531</v>
      </c>
      <c r="C838" t="s">
        <v>682</v>
      </c>
      <c r="D838" t="s">
        <v>61</v>
      </c>
      <c r="E838" t="s">
        <v>183</v>
      </c>
      <c r="F838" t="s">
        <v>191</v>
      </c>
      <c r="G838" t="s">
        <v>6</v>
      </c>
      <c r="H838">
        <v>14.5</v>
      </c>
      <c r="I838">
        <v>44</v>
      </c>
      <c r="J838">
        <v>295</v>
      </c>
      <c r="K838" t="s">
        <v>102</v>
      </c>
      <c r="L838" t="s">
        <v>78</v>
      </c>
      <c r="M838" t="s">
        <v>44</v>
      </c>
      <c r="N838">
        <v>4.5</v>
      </c>
      <c r="O838">
        <v>4.7</v>
      </c>
    </row>
    <row r="839" spans="1:15" x14ac:dyDescent="0.3">
      <c r="A839" t="s">
        <v>1655</v>
      </c>
      <c r="B839" t="s">
        <v>407</v>
      </c>
      <c r="C839" t="s">
        <v>1407</v>
      </c>
      <c r="D839" t="s">
        <v>68</v>
      </c>
      <c r="E839" t="s">
        <v>172</v>
      </c>
      <c r="F839" t="s">
        <v>150</v>
      </c>
      <c r="G839" t="s">
        <v>6</v>
      </c>
      <c r="H839">
        <v>12.2</v>
      </c>
      <c r="I839">
        <v>23</v>
      </c>
      <c r="J839">
        <v>273</v>
      </c>
      <c r="K839" t="s">
        <v>42</v>
      </c>
      <c r="L839" t="s">
        <v>43</v>
      </c>
      <c r="M839" t="s">
        <v>44</v>
      </c>
      <c r="N839">
        <v>4.4000000000000004</v>
      </c>
      <c r="O839">
        <v>4.7</v>
      </c>
    </row>
    <row r="840" spans="1:15" x14ac:dyDescent="0.3">
      <c r="A840" t="s">
        <v>1656</v>
      </c>
      <c r="B840" t="s">
        <v>450</v>
      </c>
      <c r="C840" t="s">
        <v>1657</v>
      </c>
      <c r="D840" t="s">
        <v>106</v>
      </c>
      <c r="E840" t="s">
        <v>126</v>
      </c>
      <c r="F840" t="s">
        <v>168</v>
      </c>
      <c r="G840" t="s">
        <v>3</v>
      </c>
      <c r="H840">
        <v>4.7</v>
      </c>
      <c r="I840">
        <v>6</v>
      </c>
      <c r="J840">
        <v>277</v>
      </c>
      <c r="K840" t="s">
        <v>33</v>
      </c>
      <c r="L840" t="s">
        <v>57</v>
      </c>
      <c r="M840" t="s">
        <v>35</v>
      </c>
      <c r="N840">
        <v>4.5</v>
      </c>
      <c r="O840">
        <v>4.8</v>
      </c>
    </row>
    <row r="841" spans="1:15" x14ac:dyDescent="0.3">
      <c r="A841" t="s">
        <v>1658</v>
      </c>
      <c r="B841" t="s">
        <v>689</v>
      </c>
      <c r="C841" t="s">
        <v>1238</v>
      </c>
      <c r="D841" t="s">
        <v>53</v>
      </c>
      <c r="E841" t="s">
        <v>55</v>
      </c>
      <c r="F841" t="s">
        <v>54</v>
      </c>
      <c r="G841" t="s">
        <v>5</v>
      </c>
      <c r="H841">
        <v>7.2</v>
      </c>
      <c r="I841">
        <v>21</v>
      </c>
      <c r="J841">
        <v>194</v>
      </c>
      <c r="K841" t="s">
        <v>102</v>
      </c>
      <c r="L841" t="s">
        <v>78</v>
      </c>
      <c r="M841" t="s">
        <v>44</v>
      </c>
      <c r="N841">
        <v>4.4000000000000004</v>
      </c>
      <c r="O841">
        <v>4.9000000000000004</v>
      </c>
    </row>
    <row r="842" spans="1:15" x14ac:dyDescent="0.3">
      <c r="A842" t="s">
        <v>1659</v>
      </c>
      <c r="B842" t="s">
        <v>629</v>
      </c>
      <c r="C842" t="s">
        <v>1660</v>
      </c>
      <c r="D842" t="s">
        <v>81</v>
      </c>
      <c r="E842" t="s">
        <v>268</v>
      </c>
      <c r="F842" t="s">
        <v>82</v>
      </c>
      <c r="G842" t="s">
        <v>6</v>
      </c>
      <c r="H842">
        <v>3</v>
      </c>
      <c r="I842">
        <v>7</v>
      </c>
      <c r="J842">
        <v>139</v>
      </c>
      <c r="K842" t="s">
        <v>33</v>
      </c>
      <c r="L842" t="s">
        <v>71</v>
      </c>
      <c r="M842" t="s">
        <v>44</v>
      </c>
      <c r="N842">
        <v>4.5</v>
      </c>
      <c r="O842">
        <v>4.4000000000000004</v>
      </c>
    </row>
    <row r="843" spans="1:15" x14ac:dyDescent="0.3">
      <c r="A843" t="s">
        <v>1661</v>
      </c>
      <c r="B843" t="s">
        <v>306</v>
      </c>
      <c r="C843" t="s">
        <v>1662</v>
      </c>
      <c r="D843" t="s">
        <v>75</v>
      </c>
      <c r="E843" t="s">
        <v>578</v>
      </c>
      <c r="F843" t="s">
        <v>394</v>
      </c>
      <c r="G843" t="s">
        <v>4</v>
      </c>
      <c r="H843">
        <v>4.9000000000000004</v>
      </c>
      <c r="I843">
        <v>14</v>
      </c>
      <c r="J843">
        <v>173</v>
      </c>
      <c r="K843" t="s">
        <v>33</v>
      </c>
      <c r="L843" t="s">
        <v>49</v>
      </c>
      <c r="M843" t="s">
        <v>44</v>
      </c>
      <c r="N843">
        <v>4.9000000000000004</v>
      </c>
      <c r="O843">
        <v>4.7</v>
      </c>
    </row>
    <row r="844" spans="1:15" x14ac:dyDescent="0.3">
      <c r="A844" t="s">
        <v>1663</v>
      </c>
      <c r="B844" t="s">
        <v>463</v>
      </c>
      <c r="C844" t="s">
        <v>1446</v>
      </c>
      <c r="D844" t="s">
        <v>30</v>
      </c>
      <c r="E844" t="s">
        <v>101</v>
      </c>
      <c r="F844" t="s">
        <v>32</v>
      </c>
      <c r="G844" t="s">
        <v>7</v>
      </c>
      <c r="H844">
        <v>18.3</v>
      </c>
      <c r="I844">
        <v>52</v>
      </c>
      <c r="J844">
        <v>509</v>
      </c>
      <c r="K844" t="s">
        <v>33</v>
      </c>
      <c r="L844" t="s">
        <v>43</v>
      </c>
      <c r="M844" t="s">
        <v>44</v>
      </c>
      <c r="N844">
        <v>4.8</v>
      </c>
      <c r="O844">
        <v>4.5999999999999996</v>
      </c>
    </row>
    <row r="845" spans="1:15" x14ac:dyDescent="0.3">
      <c r="A845" t="s">
        <v>1664</v>
      </c>
      <c r="B845" t="s">
        <v>189</v>
      </c>
      <c r="C845" t="s">
        <v>1464</v>
      </c>
      <c r="D845" t="s">
        <v>30</v>
      </c>
      <c r="E845" t="s">
        <v>101</v>
      </c>
      <c r="F845" t="s">
        <v>179</v>
      </c>
      <c r="G845" t="s">
        <v>7</v>
      </c>
      <c r="H845">
        <v>7.3</v>
      </c>
      <c r="I845">
        <v>19</v>
      </c>
      <c r="J845">
        <v>308</v>
      </c>
      <c r="K845" t="s">
        <v>42</v>
      </c>
      <c r="L845" t="s">
        <v>43</v>
      </c>
      <c r="M845" t="s">
        <v>44</v>
      </c>
      <c r="N845">
        <v>4.5</v>
      </c>
      <c r="O845">
        <v>4.4000000000000004</v>
      </c>
    </row>
    <row r="846" spans="1:15" x14ac:dyDescent="0.3">
      <c r="A846" t="s">
        <v>1665</v>
      </c>
      <c r="B846" t="s">
        <v>684</v>
      </c>
      <c r="C846" t="s">
        <v>1666</v>
      </c>
      <c r="D846" t="s">
        <v>81</v>
      </c>
      <c r="E846" t="s">
        <v>91</v>
      </c>
      <c r="F846" t="s">
        <v>351</v>
      </c>
      <c r="G846" t="s">
        <v>6</v>
      </c>
      <c r="H846">
        <v>6.4</v>
      </c>
      <c r="I846">
        <v>15</v>
      </c>
      <c r="J846">
        <v>165</v>
      </c>
      <c r="K846" t="s">
        <v>33</v>
      </c>
      <c r="L846" t="s">
        <v>43</v>
      </c>
      <c r="M846" t="s">
        <v>44</v>
      </c>
      <c r="N846">
        <v>4.5999999999999996</v>
      </c>
      <c r="O846">
        <v>4.5999999999999996</v>
      </c>
    </row>
    <row r="847" spans="1:15" x14ac:dyDescent="0.3">
      <c r="A847" t="s">
        <v>1667</v>
      </c>
      <c r="B847" t="s">
        <v>37</v>
      </c>
      <c r="C847" t="s">
        <v>1668</v>
      </c>
      <c r="D847" t="s">
        <v>61</v>
      </c>
      <c r="E847" t="s">
        <v>63</v>
      </c>
      <c r="F847" t="s">
        <v>191</v>
      </c>
      <c r="G847" t="s">
        <v>2</v>
      </c>
      <c r="H847">
        <v>4.5999999999999996</v>
      </c>
      <c r="I847">
        <v>15</v>
      </c>
      <c r="J847">
        <v>82</v>
      </c>
      <c r="K847" t="s">
        <v>102</v>
      </c>
      <c r="L847" t="s">
        <v>34</v>
      </c>
      <c r="M847" t="s">
        <v>35</v>
      </c>
      <c r="N847">
        <v>4.8</v>
      </c>
      <c r="O847">
        <v>5</v>
      </c>
    </row>
    <row r="848" spans="1:15" x14ac:dyDescent="0.3">
      <c r="A848" t="s">
        <v>1669</v>
      </c>
      <c r="B848" t="s">
        <v>476</v>
      </c>
      <c r="C848" t="s">
        <v>1670</v>
      </c>
      <c r="D848" t="s">
        <v>30</v>
      </c>
      <c r="E848" t="s">
        <v>179</v>
      </c>
      <c r="F848" t="s">
        <v>112</v>
      </c>
      <c r="G848" t="s">
        <v>7</v>
      </c>
      <c r="H848">
        <v>1.7</v>
      </c>
      <c r="I848">
        <v>9</v>
      </c>
      <c r="J848">
        <v>100</v>
      </c>
      <c r="K848" t="s">
        <v>42</v>
      </c>
      <c r="L848" t="s">
        <v>34</v>
      </c>
      <c r="M848" t="s">
        <v>35</v>
      </c>
      <c r="N848">
        <v>4.7</v>
      </c>
      <c r="O848">
        <v>4.8</v>
      </c>
    </row>
    <row r="849" spans="1:15" x14ac:dyDescent="0.3">
      <c r="A849" t="s">
        <v>1671</v>
      </c>
      <c r="B849" t="s">
        <v>403</v>
      </c>
      <c r="C849" t="s">
        <v>203</v>
      </c>
      <c r="D849" t="s">
        <v>158</v>
      </c>
      <c r="E849" t="s">
        <v>316</v>
      </c>
      <c r="F849" t="s">
        <v>159</v>
      </c>
      <c r="G849" t="s">
        <v>7</v>
      </c>
      <c r="H849">
        <v>7.5</v>
      </c>
      <c r="I849">
        <v>22</v>
      </c>
      <c r="J849">
        <v>287</v>
      </c>
      <c r="K849" t="s">
        <v>42</v>
      </c>
      <c r="L849" t="s">
        <v>64</v>
      </c>
      <c r="M849" t="s">
        <v>44</v>
      </c>
      <c r="N849">
        <v>4.5999999999999996</v>
      </c>
      <c r="O849">
        <v>4.5999999999999996</v>
      </c>
    </row>
    <row r="850" spans="1:15" x14ac:dyDescent="0.3">
      <c r="A850" t="s">
        <v>1672</v>
      </c>
      <c r="B850" t="s">
        <v>122</v>
      </c>
      <c r="C850" t="s">
        <v>1673</v>
      </c>
      <c r="D850" t="s">
        <v>30</v>
      </c>
      <c r="E850" t="s">
        <v>112</v>
      </c>
      <c r="F850" t="s">
        <v>142</v>
      </c>
      <c r="G850" t="s">
        <v>5</v>
      </c>
      <c r="H850">
        <v>5.3</v>
      </c>
      <c r="I850">
        <v>18</v>
      </c>
      <c r="J850">
        <v>152</v>
      </c>
      <c r="K850" t="s">
        <v>33</v>
      </c>
      <c r="L850" t="s">
        <v>34</v>
      </c>
      <c r="M850" t="s">
        <v>35</v>
      </c>
      <c r="N850">
        <v>4.3</v>
      </c>
      <c r="O850">
        <v>4.7</v>
      </c>
    </row>
    <row r="851" spans="1:15" x14ac:dyDescent="0.3">
      <c r="A851" t="s">
        <v>1674</v>
      </c>
      <c r="B851" t="s">
        <v>294</v>
      </c>
      <c r="C851" t="s">
        <v>1675</v>
      </c>
      <c r="D851" t="s">
        <v>68</v>
      </c>
      <c r="E851" t="s">
        <v>69</v>
      </c>
      <c r="F851" t="s">
        <v>130</v>
      </c>
      <c r="G851" t="s">
        <v>7</v>
      </c>
      <c r="H851">
        <v>8.1</v>
      </c>
      <c r="I851">
        <v>17</v>
      </c>
      <c r="J851">
        <v>313</v>
      </c>
      <c r="K851" t="s">
        <v>375</v>
      </c>
      <c r="L851" t="s">
        <v>71</v>
      </c>
      <c r="M851" t="s">
        <v>44</v>
      </c>
      <c r="N851">
        <v>4.5999999999999996</v>
      </c>
      <c r="O851">
        <v>5</v>
      </c>
    </row>
    <row r="852" spans="1:15" x14ac:dyDescent="0.3">
      <c r="A852" t="s">
        <v>1676</v>
      </c>
      <c r="B852" t="s">
        <v>407</v>
      </c>
      <c r="C852" t="s">
        <v>553</v>
      </c>
      <c r="D852" t="s">
        <v>30</v>
      </c>
      <c r="E852" t="s">
        <v>112</v>
      </c>
      <c r="F852" t="s">
        <v>142</v>
      </c>
      <c r="G852" t="s">
        <v>5</v>
      </c>
      <c r="H852">
        <v>10.7</v>
      </c>
      <c r="I852">
        <v>27</v>
      </c>
      <c r="J852">
        <v>338</v>
      </c>
      <c r="K852" t="s">
        <v>33</v>
      </c>
      <c r="L852" t="s">
        <v>71</v>
      </c>
      <c r="M852" t="s">
        <v>44</v>
      </c>
      <c r="N852">
        <v>5</v>
      </c>
      <c r="O852">
        <v>4.7</v>
      </c>
    </row>
    <row r="853" spans="1:15" x14ac:dyDescent="0.3">
      <c r="A853" t="s">
        <v>1677</v>
      </c>
      <c r="B853" t="s">
        <v>254</v>
      </c>
      <c r="C853" t="s">
        <v>1678</v>
      </c>
      <c r="D853" t="s">
        <v>158</v>
      </c>
      <c r="E853" t="s">
        <v>160</v>
      </c>
      <c r="F853" t="s">
        <v>334</v>
      </c>
      <c r="G853" t="s">
        <v>4</v>
      </c>
      <c r="H853">
        <v>4</v>
      </c>
      <c r="I853">
        <v>12</v>
      </c>
      <c r="J853">
        <v>157</v>
      </c>
      <c r="K853" t="s">
        <v>102</v>
      </c>
      <c r="L853" t="s">
        <v>78</v>
      </c>
      <c r="M853" t="s">
        <v>44</v>
      </c>
      <c r="N853">
        <v>4.8</v>
      </c>
      <c r="O853">
        <v>4.5999999999999996</v>
      </c>
    </row>
    <row r="854" spans="1:15" x14ac:dyDescent="0.3">
      <c r="A854" t="s">
        <v>1679</v>
      </c>
      <c r="B854" t="s">
        <v>51</v>
      </c>
      <c r="C854" t="s">
        <v>1680</v>
      </c>
      <c r="D854" t="s">
        <v>75</v>
      </c>
      <c r="E854" t="s">
        <v>146</v>
      </c>
      <c r="F854" t="s">
        <v>313</v>
      </c>
      <c r="G854" t="s">
        <v>4</v>
      </c>
      <c r="H854">
        <v>2.5</v>
      </c>
      <c r="I854">
        <v>15</v>
      </c>
      <c r="J854">
        <v>169</v>
      </c>
      <c r="K854" t="s">
        <v>33</v>
      </c>
      <c r="L854" t="s">
        <v>43</v>
      </c>
      <c r="M854" t="s">
        <v>44</v>
      </c>
      <c r="N854">
        <v>4.9000000000000004</v>
      </c>
      <c r="O854">
        <v>4.9000000000000004</v>
      </c>
    </row>
    <row r="855" spans="1:15" x14ac:dyDescent="0.3">
      <c r="A855" t="s">
        <v>1681</v>
      </c>
      <c r="B855" t="s">
        <v>189</v>
      </c>
      <c r="C855" t="s">
        <v>539</v>
      </c>
      <c r="D855" t="s">
        <v>81</v>
      </c>
      <c r="E855" t="s">
        <v>268</v>
      </c>
      <c r="F855" t="s">
        <v>351</v>
      </c>
      <c r="G855" t="s">
        <v>6</v>
      </c>
      <c r="H855">
        <v>13.7</v>
      </c>
      <c r="I855">
        <v>28</v>
      </c>
      <c r="J855">
        <v>300</v>
      </c>
      <c r="K855" t="s">
        <v>102</v>
      </c>
      <c r="L855" t="s">
        <v>49</v>
      </c>
      <c r="M855" t="s">
        <v>44</v>
      </c>
      <c r="N855">
        <v>5</v>
      </c>
      <c r="O855">
        <v>4.7</v>
      </c>
    </row>
    <row r="856" spans="1:15" x14ac:dyDescent="0.3">
      <c r="A856" t="s">
        <v>1682</v>
      </c>
      <c r="B856" t="s">
        <v>200</v>
      </c>
      <c r="C856" t="s">
        <v>428</v>
      </c>
      <c r="D856" t="s">
        <v>158</v>
      </c>
      <c r="E856" t="s">
        <v>319</v>
      </c>
      <c r="F856" t="s">
        <v>283</v>
      </c>
      <c r="G856" t="s">
        <v>5</v>
      </c>
      <c r="H856">
        <v>14.7</v>
      </c>
      <c r="I856">
        <v>45</v>
      </c>
      <c r="J856">
        <v>431</v>
      </c>
      <c r="K856" t="s">
        <v>375</v>
      </c>
      <c r="L856" t="s">
        <v>43</v>
      </c>
      <c r="M856" t="s">
        <v>44</v>
      </c>
      <c r="N856">
        <v>4.5999999999999996</v>
      </c>
      <c r="O856">
        <v>4.9000000000000004</v>
      </c>
    </row>
    <row r="857" spans="1:15" x14ac:dyDescent="0.3">
      <c r="A857" t="s">
        <v>1683</v>
      </c>
      <c r="B857" t="s">
        <v>59</v>
      </c>
      <c r="C857" t="s">
        <v>997</v>
      </c>
      <c r="D857" t="s">
        <v>53</v>
      </c>
      <c r="E857" t="s">
        <v>221</v>
      </c>
      <c r="F857" t="s">
        <v>220</v>
      </c>
      <c r="G857" t="s">
        <v>6</v>
      </c>
      <c r="H857">
        <v>2.4</v>
      </c>
      <c r="I857">
        <v>8</v>
      </c>
      <c r="J857">
        <v>119</v>
      </c>
      <c r="K857" t="s">
        <v>33</v>
      </c>
      <c r="L857" t="s">
        <v>71</v>
      </c>
      <c r="M857" t="s">
        <v>44</v>
      </c>
      <c r="N857">
        <v>4.3</v>
      </c>
      <c r="O857">
        <v>4.8</v>
      </c>
    </row>
    <row r="858" spans="1:15" x14ac:dyDescent="0.3">
      <c r="A858" t="s">
        <v>1684</v>
      </c>
      <c r="B858" t="s">
        <v>562</v>
      </c>
      <c r="C858" t="s">
        <v>212</v>
      </c>
      <c r="D858" t="s">
        <v>53</v>
      </c>
      <c r="E858" t="s">
        <v>55</v>
      </c>
      <c r="F858" t="s">
        <v>405</v>
      </c>
      <c r="G858" t="s">
        <v>5</v>
      </c>
      <c r="H858">
        <v>5.3</v>
      </c>
      <c r="I858">
        <v>16</v>
      </c>
      <c r="J858">
        <v>221</v>
      </c>
      <c r="K858" t="s">
        <v>56</v>
      </c>
      <c r="L858" t="s">
        <v>71</v>
      </c>
      <c r="M858" t="s">
        <v>44</v>
      </c>
      <c r="N858">
        <v>4.5999999999999996</v>
      </c>
      <c r="O858">
        <v>4.5</v>
      </c>
    </row>
    <row r="859" spans="1:15" x14ac:dyDescent="0.3">
      <c r="A859" t="s">
        <v>1685</v>
      </c>
      <c r="B859" t="s">
        <v>136</v>
      </c>
      <c r="C859" t="s">
        <v>1173</v>
      </c>
      <c r="D859" t="s">
        <v>75</v>
      </c>
      <c r="E859" t="s">
        <v>77</v>
      </c>
      <c r="F859" t="s">
        <v>76</v>
      </c>
      <c r="G859" t="s">
        <v>2</v>
      </c>
      <c r="H859">
        <v>2.2999999999999998</v>
      </c>
      <c r="I859">
        <v>8</v>
      </c>
      <c r="J859">
        <v>72</v>
      </c>
      <c r="K859" t="s">
        <v>42</v>
      </c>
      <c r="L859" t="s">
        <v>43</v>
      </c>
      <c r="M859" t="s">
        <v>44</v>
      </c>
      <c r="N859">
        <v>4.4000000000000004</v>
      </c>
      <c r="O859">
        <v>4.9000000000000004</v>
      </c>
    </row>
    <row r="860" spans="1:15" x14ac:dyDescent="0.3">
      <c r="A860" t="s">
        <v>1686</v>
      </c>
      <c r="B860" t="s">
        <v>853</v>
      </c>
      <c r="C860" t="s">
        <v>625</v>
      </c>
      <c r="D860" t="s">
        <v>61</v>
      </c>
      <c r="E860" t="s">
        <v>191</v>
      </c>
      <c r="F860" t="s">
        <v>116</v>
      </c>
      <c r="G860" t="s">
        <v>5</v>
      </c>
      <c r="H860">
        <v>19</v>
      </c>
      <c r="I860">
        <v>39</v>
      </c>
      <c r="J860">
        <v>549</v>
      </c>
      <c r="K860" t="s">
        <v>102</v>
      </c>
      <c r="L860" t="s">
        <v>64</v>
      </c>
      <c r="M860" t="s">
        <v>44</v>
      </c>
      <c r="N860">
        <v>4.5999999999999996</v>
      </c>
      <c r="O860">
        <v>4.5</v>
      </c>
    </row>
    <row r="861" spans="1:15" x14ac:dyDescent="0.3">
      <c r="A861" t="s">
        <v>1687</v>
      </c>
      <c r="B861" t="s">
        <v>523</v>
      </c>
      <c r="C861" t="s">
        <v>779</v>
      </c>
      <c r="D861" t="s">
        <v>81</v>
      </c>
      <c r="E861" t="s">
        <v>201</v>
      </c>
      <c r="F861" t="s">
        <v>134</v>
      </c>
      <c r="G861" t="s">
        <v>6</v>
      </c>
      <c r="H861">
        <v>16.600000000000001</v>
      </c>
      <c r="I861">
        <v>42</v>
      </c>
      <c r="J861">
        <v>458</v>
      </c>
      <c r="K861" t="s">
        <v>42</v>
      </c>
      <c r="L861" t="s">
        <v>64</v>
      </c>
      <c r="M861" t="s">
        <v>44</v>
      </c>
      <c r="N861">
        <v>4.5</v>
      </c>
      <c r="O861">
        <v>4.5</v>
      </c>
    </row>
    <row r="862" spans="1:15" x14ac:dyDescent="0.3">
      <c r="A862" t="s">
        <v>1688</v>
      </c>
      <c r="B862" t="s">
        <v>453</v>
      </c>
      <c r="C862" t="s">
        <v>599</v>
      </c>
      <c r="D862" t="s">
        <v>81</v>
      </c>
      <c r="E862" t="s">
        <v>351</v>
      </c>
      <c r="F862" t="s">
        <v>268</v>
      </c>
      <c r="G862" t="s">
        <v>2</v>
      </c>
      <c r="H862">
        <v>2.4</v>
      </c>
      <c r="I862">
        <v>5</v>
      </c>
      <c r="J862">
        <v>81</v>
      </c>
      <c r="K862" t="s">
        <v>33</v>
      </c>
      <c r="L862" t="s">
        <v>49</v>
      </c>
      <c r="M862" t="s">
        <v>44</v>
      </c>
      <c r="N862">
        <v>4.5999999999999996</v>
      </c>
      <c r="O862">
        <v>4.5999999999999996</v>
      </c>
    </row>
    <row r="863" spans="1:15" x14ac:dyDescent="0.3">
      <c r="A863" t="s">
        <v>1689</v>
      </c>
      <c r="B863" t="s">
        <v>254</v>
      </c>
      <c r="C863" t="s">
        <v>708</v>
      </c>
      <c r="D863" t="s">
        <v>61</v>
      </c>
      <c r="E863" t="s">
        <v>116</v>
      </c>
      <c r="F863" t="s">
        <v>63</v>
      </c>
      <c r="G863" t="s">
        <v>3</v>
      </c>
      <c r="H863">
        <v>15.9</v>
      </c>
      <c r="I863">
        <v>36</v>
      </c>
      <c r="J863">
        <v>602</v>
      </c>
      <c r="K863" t="s">
        <v>33</v>
      </c>
      <c r="L863" t="s">
        <v>78</v>
      </c>
      <c r="M863" t="s">
        <v>44</v>
      </c>
      <c r="N863">
        <v>4.8</v>
      </c>
      <c r="O863">
        <v>5</v>
      </c>
    </row>
    <row r="864" spans="1:15" x14ac:dyDescent="0.3">
      <c r="A864" t="s">
        <v>1690</v>
      </c>
      <c r="B864" t="s">
        <v>104</v>
      </c>
      <c r="C864" t="s">
        <v>804</v>
      </c>
      <c r="D864" t="s">
        <v>75</v>
      </c>
      <c r="E864" t="s">
        <v>239</v>
      </c>
      <c r="F864" t="s">
        <v>578</v>
      </c>
      <c r="G864" t="s">
        <v>4</v>
      </c>
      <c r="H864">
        <v>8.8000000000000007</v>
      </c>
      <c r="I864">
        <v>33</v>
      </c>
      <c r="J864">
        <v>315</v>
      </c>
      <c r="K864" t="s">
        <v>42</v>
      </c>
      <c r="L864" t="s">
        <v>49</v>
      </c>
      <c r="M864" t="s">
        <v>44</v>
      </c>
      <c r="N864">
        <v>5</v>
      </c>
      <c r="O864">
        <v>4.8</v>
      </c>
    </row>
    <row r="865" spans="1:15" x14ac:dyDescent="0.3">
      <c r="A865" t="s">
        <v>1691</v>
      </c>
      <c r="B865" t="s">
        <v>294</v>
      </c>
      <c r="C865" t="s">
        <v>880</v>
      </c>
      <c r="D865" t="s">
        <v>75</v>
      </c>
      <c r="E865" t="s">
        <v>76</v>
      </c>
      <c r="F865" t="s">
        <v>313</v>
      </c>
      <c r="G865" t="s">
        <v>4</v>
      </c>
      <c r="H865">
        <v>1</v>
      </c>
      <c r="I865">
        <v>5</v>
      </c>
      <c r="J865">
        <v>127</v>
      </c>
      <c r="K865" t="s">
        <v>42</v>
      </c>
      <c r="L865" t="s">
        <v>64</v>
      </c>
      <c r="M865" t="s">
        <v>44</v>
      </c>
      <c r="N865">
        <v>4.7</v>
      </c>
      <c r="O865">
        <v>4.9000000000000004</v>
      </c>
    </row>
    <row r="866" spans="1:15" x14ac:dyDescent="0.3">
      <c r="A866" t="s">
        <v>1692</v>
      </c>
      <c r="B866" t="s">
        <v>510</v>
      </c>
      <c r="C866" t="s">
        <v>942</v>
      </c>
      <c r="D866" t="s">
        <v>106</v>
      </c>
      <c r="E866" t="s">
        <v>187</v>
      </c>
      <c r="F866" t="s">
        <v>290</v>
      </c>
      <c r="G866" t="s">
        <v>7</v>
      </c>
      <c r="H866">
        <v>3.4</v>
      </c>
      <c r="I866">
        <v>5</v>
      </c>
      <c r="J866">
        <v>159</v>
      </c>
      <c r="K866" t="s">
        <v>33</v>
      </c>
      <c r="L866" t="s">
        <v>78</v>
      </c>
      <c r="M866" t="s">
        <v>44</v>
      </c>
      <c r="N866">
        <v>5</v>
      </c>
      <c r="O866">
        <v>4.7</v>
      </c>
    </row>
    <row r="867" spans="1:15" x14ac:dyDescent="0.3">
      <c r="A867" t="s">
        <v>1693</v>
      </c>
      <c r="B867" t="s">
        <v>510</v>
      </c>
      <c r="C867" t="s">
        <v>432</v>
      </c>
      <c r="D867" t="s">
        <v>61</v>
      </c>
      <c r="E867" t="s">
        <v>328</v>
      </c>
      <c r="F867" t="s">
        <v>63</v>
      </c>
      <c r="G867" t="s">
        <v>2</v>
      </c>
      <c r="H867">
        <v>2</v>
      </c>
      <c r="I867">
        <v>11</v>
      </c>
      <c r="J867">
        <v>54</v>
      </c>
      <c r="K867" t="s">
        <v>102</v>
      </c>
      <c r="L867" t="s">
        <v>49</v>
      </c>
      <c r="M867" t="s">
        <v>44</v>
      </c>
      <c r="N867">
        <v>4.8</v>
      </c>
      <c r="O867">
        <v>4.9000000000000004</v>
      </c>
    </row>
    <row r="868" spans="1:15" x14ac:dyDescent="0.3">
      <c r="A868" t="s">
        <v>1694</v>
      </c>
      <c r="B868" t="s">
        <v>136</v>
      </c>
      <c r="C868" t="s">
        <v>1695</v>
      </c>
      <c r="D868" t="s">
        <v>75</v>
      </c>
      <c r="E868" t="s">
        <v>239</v>
      </c>
      <c r="F868" t="s">
        <v>76</v>
      </c>
      <c r="G868" t="s">
        <v>6</v>
      </c>
      <c r="H868">
        <v>7.7</v>
      </c>
      <c r="I868">
        <v>26</v>
      </c>
      <c r="J868">
        <v>189</v>
      </c>
      <c r="K868" t="s">
        <v>56</v>
      </c>
      <c r="L868" t="s">
        <v>64</v>
      </c>
      <c r="M868" t="s">
        <v>44</v>
      </c>
      <c r="N868">
        <v>4.5999999999999996</v>
      </c>
      <c r="O868">
        <v>5</v>
      </c>
    </row>
    <row r="869" spans="1:15" x14ac:dyDescent="0.3">
      <c r="A869" t="s">
        <v>1696</v>
      </c>
      <c r="B869" t="s">
        <v>309</v>
      </c>
      <c r="C869" t="s">
        <v>1580</v>
      </c>
      <c r="D869" t="s">
        <v>30</v>
      </c>
      <c r="E869" t="s">
        <v>179</v>
      </c>
      <c r="F869" t="s">
        <v>138</v>
      </c>
      <c r="G869" t="s">
        <v>3</v>
      </c>
      <c r="H869">
        <v>6.9</v>
      </c>
      <c r="I869">
        <v>32</v>
      </c>
      <c r="J869">
        <v>474</v>
      </c>
      <c r="K869" t="s">
        <v>33</v>
      </c>
      <c r="L869" t="s">
        <v>43</v>
      </c>
      <c r="M869" t="s">
        <v>44</v>
      </c>
      <c r="N869">
        <v>4.5999999999999996</v>
      </c>
      <c r="O869">
        <v>5</v>
      </c>
    </row>
    <row r="870" spans="1:15" x14ac:dyDescent="0.3">
      <c r="A870" t="s">
        <v>1697</v>
      </c>
      <c r="B870" t="s">
        <v>294</v>
      </c>
      <c r="C870" t="s">
        <v>1698</v>
      </c>
      <c r="D870" t="s">
        <v>39</v>
      </c>
      <c r="E870" t="s">
        <v>356</v>
      </c>
      <c r="F870" t="s">
        <v>41</v>
      </c>
      <c r="G870" t="s">
        <v>6</v>
      </c>
      <c r="H870">
        <v>4.3</v>
      </c>
      <c r="I870">
        <v>15</v>
      </c>
      <c r="J870">
        <v>129</v>
      </c>
      <c r="K870" t="s">
        <v>33</v>
      </c>
      <c r="L870" t="s">
        <v>57</v>
      </c>
      <c r="M870" t="s">
        <v>35</v>
      </c>
      <c r="N870">
        <v>4.7</v>
      </c>
      <c r="O870">
        <v>4.5999999999999996</v>
      </c>
    </row>
    <row r="871" spans="1:15" x14ac:dyDescent="0.3">
      <c r="A871" t="s">
        <v>1699</v>
      </c>
      <c r="B871" t="s">
        <v>181</v>
      </c>
      <c r="C871" t="s">
        <v>1700</v>
      </c>
      <c r="D871" t="s">
        <v>61</v>
      </c>
      <c r="E871" t="s">
        <v>183</v>
      </c>
      <c r="F871" t="s">
        <v>116</v>
      </c>
      <c r="G871" t="s">
        <v>2</v>
      </c>
      <c r="H871">
        <v>1</v>
      </c>
      <c r="I871">
        <v>5</v>
      </c>
      <c r="J871">
        <v>58</v>
      </c>
      <c r="K871" t="s">
        <v>102</v>
      </c>
      <c r="L871" t="s">
        <v>57</v>
      </c>
      <c r="M871" t="s">
        <v>35</v>
      </c>
      <c r="N871">
        <v>4.8</v>
      </c>
      <c r="O871">
        <v>4.5999999999999996</v>
      </c>
    </row>
    <row r="872" spans="1:15" x14ac:dyDescent="0.3">
      <c r="A872" t="s">
        <v>1701</v>
      </c>
      <c r="B872" t="s">
        <v>232</v>
      </c>
      <c r="C872" t="s">
        <v>1220</v>
      </c>
      <c r="D872" t="s">
        <v>106</v>
      </c>
      <c r="E872" t="s">
        <v>290</v>
      </c>
      <c r="F872" t="s">
        <v>472</v>
      </c>
      <c r="G872" t="s">
        <v>6</v>
      </c>
      <c r="H872">
        <v>5.4</v>
      </c>
      <c r="I872">
        <v>19</v>
      </c>
      <c r="J872">
        <v>118</v>
      </c>
      <c r="K872" t="s">
        <v>33</v>
      </c>
      <c r="L872" t="s">
        <v>49</v>
      </c>
      <c r="M872" t="s">
        <v>44</v>
      </c>
      <c r="N872">
        <v>4.3</v>
      </c>
      <c r="O872">
        <v>5</v>
      </c>
    </row>
    <row r="873" spans="1:15" x14ac:dyDescent="0.3">
      <c r="A873" t="s">
        <v>1702</v>
      </c>
      <c r="B873" t="s">
        <v>510</v>
      </c>
      <c r="C873" t="s">
        <v>1703</v>
      </c>
      <c r="D873" t="s">
        <v>39</v>
      </c>
      <c r="E873" t="s">
        <v>40</v>
      </c>
      <c r="F873" t="s">
        <v>484</v>
      </c>
      <c r="G873" t="s">
        <v>7</v>
      </c>
      <c r="H873">
        <v>4.7</v>
      </c>
      <c r="I873">
        <v>11</v>
      </c>
      <c r="J873">
        <v>246</v>
      </c>
      <c r="K873" t="s">
        <v>33</v>
      </c>
      <c r="L873" t="s">
        <v>71</v>
      </c>
      <c r="M873" t="s">
        <v>44</v>
      </c>
      <c r="N873">
        <v>4.8</v>
      </c>
      <c r="O873">
        <v>5</v>
      </c>
    </row>
    <row r="874" spans="1:15" x14ac:dyDescent="0.3">
      <c r="A874" t="s">
        <v>1704</v>
      </c>
      <c r="B874" t="s">
        <v>373</v>
      </c>
      <c r="C874" t="s">
        <v>223</v>
      </c>
      <c r="D874" t="s">
        <v>30</v>
      </c>
      <c r="E874" t="s">
        <v>101</v>
      </c>
      <c r="F874" t="s">
        <v>142</v>
      </c>
      <c r="G874" t="s">
        <v>6</v>
      </c>
      <c r="H874">
        <v>3.7</v>
      </c>
      <c r="I874">
        <v>9</v>
      </c>
      <c r="J874">
        <v>103</v>
      </c>
      <c r="K874" t="s">
        <v>192</v>
      </c>
      <c r="L874" t="s">
        <v>64</v>
      </c>
      <c r="M874" t="s">
        <v>44</v>
      </c>
      <c r="N874">
        <v>4.5</v>
      </c>
      <c r="O874">
        <v>4.4000000000000004</v>
      </c>
    </row>
    <row r="875" spans="1:15" x14ac:dyDescent="0.3">
      <c r="A875" t="s">
        <v>1705</v>
      </c>
      <c r="B875" t="s">
        <v>463</v>
      </c>
      <c r="C875" t="s">
        <v>1201</v>
      </c>
      <c r="D875" t="s">
        <v>53</v>
      </c>
      <c r="E875" t="s">
        <v>515</v>
      </c>
      <c r="F875" t="s">
        <v>221</v>
      </c>
      <c r="G875" t="s">
        <v>4</v>
      </c>
      <c r="H875">
        <v>6.6</v>
      </c>
      <c r="I875">
        <v>18</v>
      </c>
      <c r="J875">
        <v>237</v>
      </c>
      <c r="K875" t="s">
        <v>33</v>
      </c>
      <c r="L875" t="s">
        <v>64</v>
      </c>
      <c r="M875" t="s">
        <v>44</v>
      </c>
      <c r="N875">
        <v>4.7</v>
      </c>
      <c r="O875">
        <v>4.8</v>
      </c>
    </row>
    <row r="876" spans="1:15" x14ac:dyDescent="0.3">
      <c r="A876" t="s">
        <v>1706</v>
      </c>
      <c r="B876" t="s">
        <v>349</v>
      </c>
      <c r="C876" t="s">
        <v>1707</v>
      </c>
      <c r="D876" t="s">
        <v>53</v>
      </c>
      <c r="E876" t="s">
        <v>220</v>
      </c>
      <c r="F876" t="s">
        <v>54</v>
      </c>
      <c r="G876" t="s">
        <v>5</v>
      </c>
      <c r="H876">
        <v>2.9</v>
      </c>
      <c r="I876">
        <v>10</v>
      </c>
      <c r="J876">
        <v>139</v>
      </c>
      <c r="K876" t="s">
        <v>33</v>
      </c>
      <c r="L876" t="s">
        <v>34</v>
      </c>
      <c r="M876" t="s">
        <v>35</v>
      </c>
      <c r="N876">
        <v>4.3</v>
      </c>
      <c r="O876">
        <v>4.5999999999999996</v>
      </c>
    </row>
    <row r="877" spans="1:15" x14ac:dyDescent="0.3">
      <c r="A877" t="s">
        <v>1708</v>
      </c>
      <c r="B877" t="s">
        <v>152</v>
      </c>
      <c r="C877" t="s">
        <v>1709</v>
      </c>
      <c r="D877" t="s">
        <v>53</v>
      </c>
      <c r="E877" t="s">
        <v>405</v>
      </c>
      <c r="F877" t="s">
        <v>220</v>
      </c>
      <c r="G877" t="s">
        <v>4</v>
      </c>
      <c r="H877">
        <v>18.3</v>
      </c>
      <c r="I877">
        <v>58</v>
      </c>
      <c r="J877">
        <v>513</v>
      </c>
      <c r="K877" t="s">
        <v>42</v>
      </c>
      <c r="L877" t="s">
        <v>64</v>
      </c>
      <c r="M877" t="s">
        <v>44</v>
      </c>
      <c r="N877">
        <v>4.4000000000000004</v>
      </c>
      <c r="O877">
        <v>4.7</v>
      </c>
    </row>
    <row r="878" spans="1:15" x14ac:dyDescent="0.3">
      <c r="A878" t="s">
        <v>1710</v>
      </c>
      <c r="B878" t="s">
        <v>458</v>
      </c>
      <c r="C878" t="s">
        <v>1711</v>
      </c>
      <c r="D878" t="s">
        <v>61</v>
      </c>
      <c r="E878" t="s">
        <v>96</v>
      </c>
      <c r="F878" t="s">
        <v>63</v>
      </c>
      <c r="G878" t="s">
        <v>4</v>
      </c>
      <c r="H878">
        <v>3.9</v>
      </c>
      <c r="I878">
        <v>7</v>
      </c>
      <c r="J878">
        <v>199</v>
      </c>
      <c r="K878" t="s">
        <v>33</v>
      </c>
      <c r="L878" t="s">
        <v>64</v>
      </c>
      <c r="M878" t="s">
        <v>44</v>
      </c>
      <c r="N878">
        <v>5</v>
      </c>
      <c r="O878">
        <v>4.5999999999999996</v>
      </c>
    </row>
    <row r="879" spans="1:15" x14ac:dyDescent="0.3">
      <c r="A879" t="s">
        <v>1712</v>
      </c>
      <c r="B879" t="s">
        <v>727</v>
      </c>
      <c r="C879" t="s">
        <v>145</v>
      </c>
      <c r="D879" t="s">
        <v>53</v>
      </c>
      <c r="E879" t="s">
        <v>236</v>
      </c>
      <c r="F879" t="s">
        <v>86</v>
      </c>
      <c r="G879" t="s">
        <v>5</v>
      </c>
      <c r="H879">
        <v>12.8</v>
      </c>
      <c r="I879">
        <v>34</v>
      </c>
      <c r="J879">
        <v>369</v>
      </c>
      <c r="K879" t="s">
        <v>33</v>
      </c>
      <c r="L879" t="s">
        <v>43</v>
      </c>
      <c r="M879" t="s">
        <v>44</v>
      </c>
      <c r="N879">
        <v>4.8</v>
      </c>
      <c r="O879">
        <v>4.9000000000000004</v>
      </c>
    </row>
    <row r="880" spans="1:15" x14ac:dyDescent="0.3">
      <c r="A880" t="s">
        <v>1713</v>
      </c>
      <c r="B880" t="s">
        <v>684</v>
      </c>
      <c r="C880" t="s">
        <v>1714</v>
      </c>
      <c r="D880" t="s">
        <v>53</v>
      </c>
      <c r="E880" t="s">
        <v>55</v>
      </c>
      <c r="F880" t="s">
        <v>221</v>
      </c>
      <c r="G880" t="s">
        <v>4</v>
      </c>
      <c r="H880">
        <v>20.9</v>
      </c>
      <c r="I880">
        <v>48</v>
      </c>
      <c r="J880">
        <v>549</v>
      </c>
      <c r="K880" t="s">
        <v>375</v>
      </c>
      <c r="L880" t="s">
        <v>49</v>
      </c>
      <c r="M880" t="s">
        <v>44</v>
      </c>
      <c r="N880">
        <v>4.5</v>
      </c>
      <c r="O880">
        <v>4.5999999999999996</v>
      </c>
    </row>
    <row r="881" spans="1:15" x14ac:dyDescent="0.3">
      <c r="A881" t="s">
        <v>1715</v>
      </c>
      <c r="B881" t="s">
        <v>98</v>
      </c>
      <c r="C881" t="s">
        <v>216</v>
      </c>
      <c r="D881" t="s">
        <v>30</v>
      </c>
      <c r="E881" t="s">
        <v>138</v>
      </c>
      <c r="F881" t="s">
        <v>100</v>
      </c>
      <c r="G881" t="s">
        <v>6</v>
      </c>
      <c r="H881">
        <v>3.7</v>
      </c>
      <c r="I881">
        <v>15</v>
      </c>
      <c r="J881">
        <v>105</v>
      </c>
      <c r="K881" t="s">
        <v>42</v>
      </c>
      <c r="L881" t="s">
        <v>64</v>
      </c>
      <c r="M881" t="s">
        <v>44</v>
      </c>
      <c r="N881">
        <v>4.9000000000000004</v>
      </c>
      <c r="O881">
        <v>5</v>
      </c>
    </row>
    <row r="882" spans="1:15" x14ac:dyDescent="0.3">
      <c r="A882" t="s">
        <v>1716</v>
      </c>
      <c r="B882" t="s">
        <v>51</v>
      </c>
      <c r="C882" t="s">
        <v>1678</v>
      </c>
      <c r="D882" t="s">
        <v>75</v>
      </c>
      <c r="E882" t="s">
        <v>77</v>
      </c>
      <c r="F882" t="s">
        <v>76</v>
      </c>
      <c r="G882" t="s">
        <v>6</v>
      </c>
      <c r="H882">
        <v>13.3</v>
      </c>
      <c r="I882">
        <v>32</v>
      </c>
      <c r="J882">
        <v>260</v>
      </c>
      <c r="K882" t="s">
        <v>33</v>
      </c>
      <c r="L882" t="s">
        <v>78</v>
      </c>
      <c r="M882" t="s">
        <v>44</v>
      </c>
      <c r="N882">
        <v>4.7</v>
      </c>
      <c r="O882">
        <v>4.8</v>
      </c>
    </row>
    <row r="883" spans="1:15" x14ac:dyDescent="0.3">
      <c r="A883" t="s">
        <v>1717</v>
      </c>
      <c r="B883" t="s">
        <v>300</v>
      </c>
      <c r="C883" t="s">
        <v>1592</v>
      </c>
      <c r="D883" t="s">
        <v>53</v>
      </c>
      <c r="E883" t="s">
        <v>55</v>
      </c>
      <c r="F883" t="s">
        <v>515</v>
      </c>
      <c r="G883" t="s">
        <v>6</v>
      </c>
      <c r="H883">
        <v>1.6</v>
      </c>
      <c r="I883">
        <v>5</v>
      </c>
      <c r="J883">
        <v>88</v>
      </c>
      <c r="K883" t="s">
        <v>33</v>
      </c>
      <c r="L883" t="s">
        <v>64</v>
      </c>
      <c r="M883" t="s">
        <v>44</v>
      </c>
      <c r="N883">
        <v>5</v>
      </c>
      <c r="O883">
        <v>4.9000000000000004</v>
      </c>
    </row>
    <row r="884" spans="1:15" x14ac:dyDescent="0.3">
      <c r="A884" t="s">
        <v>1718</v>
      </c>
      <c r="B884" t="s">
        <v>152</v>
      </c>
      <c r="C884" t="s">
        <v>1719</v>
      </c>
      <c r="D884" t="s">
        <v>158</v>
      </c>
      <c r="E884" t="s">
        <v>160</v>
      </c>
      <c r="F884" t="s">
        <v>316</v>
      </c>
      <c r="G884" t="s">
        <v>5</v>
      </c>
      <c r="H884">
        <v>3.5</v>
      </c>
      <c r="I884">
        <v>18</v>
      </c>
      <c r="J884">
        <v>156</v>
      </c>
      <c r="K884" t="s">
        <v>42</v>
      </c>
      <c r="L884" t="s">
        <v>43</v>
      </c>
      <c r="M884" t="s">
        <v>44</v>
      </c>
      <c r="N884">
        <v>4.7</v>
      </c>
      <c r="O884">
        <v>5</v>
      </c>
    </row>
    <row r="885" spans="1:15" x14ac:dyDescent="0.3">
      <c r="A885" t="s">
        <v>1720</v>
      </c>
      <c r="B885" t="s">
        <v>88</v>
      </c>
      <c r="C885" t="s">
        <v>498</v>
      </c>
      <c r="D885" t="s">
        <v>68</v>
      </c>
      <c r="E885" t="s">
        <v>195</v>
      </c>
      <c r="F885" t="s">
        <v>172</v>
      </c>
      <c r="G885" t="s">
        <v>2</v>
      </c>
      <c r="H885">
        <v>3.5</v>
      </c>
      <c r="I885">
        <v>9</v>
      </c>
      <c r="J885">
        <v>86</v>
      </c>
      <c r="K885" t="s">
        <v>375</v>
      </c>
      <c r="L885" t="s">
        <v>49</v>
      </c>
      <c r="M885" t="s">
        <v>44</v>
      </c>
      <c r="N885">
        <v>4.5999999999999996</v>
      </c>
      <c r="O885">
        <v>5</v>
      </c>
    </row>
    <row r="886" spans="1:15" x14ac:dyDescent="0.3">
      <c r="A886" t="s">
        <v>1721</v>
      </c>
      <c r="B886" t="s">
        <v>303</v>
      </c>
      <c r="C886" t="s">
        <v>1722</v>
      </c>
      <c r="D886" t="s">
        <v>30</v>
      </c>
      <c r="E886" t="s">
        <v>31</v>
      </c>
      <c r="F886" t="s">
        <v>101</v>
      </c>
      <c r="G886" t="s">
        <v>5</v>
      </c>
      <c r="H886">
        <v>8.5</v>
      </c>
      <c r="I886">
        <v>34</v>
      </c>
      <c r="J886">
        <v>287</v>
      </c>
      <c r="K886" t="s">
        <v>33</v>
      </c>
      <c r="L886" t="s">
        <v>71</v>
      </c>
      <c r="M886" t="s">
        <v>44</v>
      </c>
      <c r="N886">
        <v>4.9000000000000004</v>
      </c>
      <c r="O886">
        <v>4.7</v>
      </c>
    </row>
    <row r="887" spans="1:15" x14ac:dyDescent="0.3">
      <c r="A887" t="s">
        <v>1723</v>
      </c>
      <c r="B887" t="s">
        <v>604</v>
      </c>
      <c r="C887" t="s">
        <v>1724</v>
      </c>
      <c r="D887" t="s">
        <v>61</v>
      </c>
      <c r="E887" t="s">
        <v>63</v>
      </c>
      <c r="F887" t="s">
        <v>183</v>
      </c>
      <c r="G887" t="s">
        <v>7</v>
      </c>
      <c r="H887">
        <v>8.1</v>
      </c>
      <c r="I887">
        <v>25</v>
      </c>
      <c r="J887">
        <v>253</v>
      </c>
      <c r="K887" t="s">
        <v>42</v>
      </c>
      <c r="L887" t="s">
        <v>78</v>
      </c>
      <c r="M887" t="s">
        <v>44</v>
      </c>
      <c r="N887">
        <v>5</v>
      </c>
      <c r="O887">
        <v>4.5999999999999996</v>
      </c>
    </row>
    <row r="888" spans="1:15" x14ac:dyDescent="0.3">
      <c r="A888" t="s">
        <v>1725</v>
      </c>
      <c r="B888" t="s">
        <v>604</v>
      </c>
      <c r="C888" t="s">
        <v>1726</v>
      </c>
      <c r="D888" t="s">
        <v>53</v>
      </c>
      <c r="E888" t="s">
        <v>515</v>
      </c>
      <c r="F888" t="s">
        <v>55</v>
      </c>
      <c r="G888" t="s">
        <v>2</v>
      </c>
      <c r="H888">
        <v>3.3</v>
      </c>
      <c r="I888">
        <v>8</v>
      </c>
      <c r="J888">
        <v>87</v>
      </c>
      <c r="K888" t="s">
        <v>33</v>
      </c>
      <c r="L888" t="s">
        <v>64</v>
      </c>
      <c r="M888" t="s">
        <v>44</v>
      </c>
      <c r="N888">
        <v>4.7</v>
      </c>
      <c r="O888">
        <v>4.8</v>
      </c>
    </row>
    <row r="889" spans="1:15" x14ac:dyDescent="0.3">
      <c r="A889" t="s">
        <v>1727</v>
      </c>
      <c r="B889" t="s">
        <v>340</v>
      </c>
      <c r="C889" t="s">
        <v>660</v>
      </c>
      <c r="D889" t="s">
        <v>30</v>
      </c>
      <c r="E889" t="s">
        <v>142</v>
      </c>
      <c r="F889" t="s">
        <v>101</v>
      </c>
      <c r="G889" t="s">
        <v>5</v>
      </c>
      <c r="H889">
        <v>2.6</v>
      </c>
      <c r="I889">
        <v>9</v>
      </c>
      <c r="J889">
        <v>139</v>
      </c>
      <c r="K889" t="s">
        <v>102</v>
      </c>
      <c r="L889" t="s">
        <v>64</v>
      </c>
      <c r="M889" t="s">
        <v>44</v>
      </c>
      <c r="N889">
        <v>4.9000000000000004</v>
      </c>
      <c r="O889">
        <v>4.9000000000000004</v>
      </c>
    </row>
    <row r="890" spans="1:15" x14ac:dyDescent="0.3">
      <c r="A890" t="s">
        <v>1728</v>
      </c>
      <c r="B890" t="s">
        <v>93</v>
      </c>
      <c r="C890" t="s">
        <v>537</v>
      </c>
      <c r="D890" t="s">
        <v>53</v>
      </c>
      <c r="E890" t="s">
        <v>54</v>
      </c>
      <c r="F890" t="s">
        <v>221</v>
      </c>
      <c r="G890" t="s">
        <v>5</v>
      </c>
      <c r="H890">
        <v>2.1</v>
      </c>
      <c r="I890">
        <v>8</v>
      </c>
      <c r="J890">
        <v>117</v>
      </c>
      <c r="K890" t="s">
        <v>33</v>
      </c>
      <c r="L890" t="s">
        <v>161</v>
      </c>
      <c r="M890" t="s">
        <v>35</v>
      </c>
      <c r="N890">
        <v>4.5999999999999996</v>
      </c>
      <c r="O890">
        <v>4.7</v>
      </c>
    </row>
    <row r="891" spans="1:15" x14ac:dyDescent="0.3">
      <c r="A891" t="s">
        <v>1729</v>
      </c>
      <c r="B891" t="s">
        <v>200</v>
      </c>
      <c r="C891" t="s">
        <v>137</v>
      </c>
      <c r="D891" t="s">
        <v>68</v>
      </c>
      <c r="E891" t="s">
        <v>195</v>
      </c>
      <c r="F891" t="s">
        <v>130</v>
      </c>
      <c r="G891" t="s">
        <v>3</v>
      </c>
      <c r="H891">
        <v>10.1</v>
      </c>
      <c r="I891">
        <v>22</v>
      </c>
      <c r="J891">
        <v>597</v>
      </c>
      <c r="K891" t="s">
        <v>33</v>
      </c>
      <c r="L891" t="s">
        <v>43</v>
      </c>
      <c r="M891" t="s">
        <v>44</v>
      </c>
      <c r="N891">
        <v>4.5</v>
      </c>
      <c r="O891">
        <v>4.8</v>
      </c>
    </row>
    <row r="892" spans="1:15" x14ac:dyDescent="0.3">
      <c r="A892" t="s">
        <v>1730</v>
      </c>
      <c r="B892" t="s">
        <v>447</v>
      </c>
      <c r="C892" t="s">
        <v>1212</v>
      </c>
      <c r="D892" t="s">
        <v>30</v>
      </c>
      <c r="E892" t="s">
        <v>138</v>
      </c>
      <c r="F892" t="s">
        <v>112</v>
      </c>
      <c r="G892" t="s">
        <v>4</v>
      </c>
      <c r="H892">
        <v>3.3</v>
      </c>
      <c r="I892">
        <v>14</v>
      </c>
      <c r="J892">
        <v>181</v>
      </c>
      <c r="K892" t="s">
        <v>102</v>
      </c>
      <c r="L892" t="s">
        <v>64</v>
      </c>
      <c r="M892" t="s">
        <v>44</v>
      </c>
      <c r="N892">
        <v>4.5999999999999996</v>
      </c>
      <c r="O892">
        <v>4.5999999999999996</v>
      </c>
    </row>
    <row r="893" spans="1:15" x14ac:dyDescent="0.3">
      <c r="A893" t="s">
        <v>1731</v>
      </c>
      <c r="B893" t="s">
        <v>264</v>
      </c>
      <c r="C893" t="s">
        <v>1732</v>
      </c>
      <c r="D893" t="s">
        <v>158</v>
      </c>
      <c r="E893" t="s">
        <v>334</v>
      </c>
      <c r="F893" t="s">
        <v>283</v>
      </c>
      <c r="G893" t="s">
        <v>2</v>
      </c>
      <c r="H893">
        <v>1.9</v>
      </c>
      <c r="I893">
        <v>8</v>
      </c>
      <c r="J893">
        <v>67</v>
      </c>
      <c r="K893" t="s">
        <v>56</v>
      </c>
      <c r="L893" t="s">
        <v>34</v>
      </c>
      <c r="M893" t="s">
        <v>35</v>
      </c>
      <c r="N893">
        <v>4.7</v>
      </c>
      <c r="O893">
        <v>4.9000000000000004</v>
      </c>
    </row>
    <row r="894" spans="1:15" x14ac:dyDescent="0.3">
      <c r="A894" t="s">
        <v>1733</v>
      </c>
      <c r="B894" t="s">
        <v>410</v>
      </c>
      <c r="C894" t="s">
        <v>1516</v>
      </c>
      <c r="D894" t="s">
        <v>68</v>
      </c>
      <c r="E894" t="s">
        <v>70</v>
      </c>
      <c r="F894" t="s">
        <v>172</v>
      </c>
      <c r="G894" t="s">
        <v>6</v>
      </c>
      <c r="H894">
        <v>7.6</v>
      </c>
      <c r="I894">
        <v>11</v>
      </c>
      <c r="J894">
        <v>217</v>
      </c>
      <c r="K894" t="s">
        <v>33</v>
      </c>
      <c r="L894" t="s">
        <v>71</v>
      </c>
      <c r="M894" t="s">
        <v>44</v>
      </c>
      <c r="N894">
        <v>4.5</v>
      </c>
      <c r="O894">
        <v>4.7</v>
      </c>
    </row>
    <row r="895" spans="1:15" x14ac:dyDescent="0.3">
      <c r="A895" t="s">
        <v>1734</v>
      </c>
      <c r="B895" t="s">
        <v>300</v>
      </c>
      <c r="C895" t="s">
        <v>1726</v>
      </c>
      <c r="D895" t="s">
        <v>106</v>
      </c>
      <c r="E895" t="s">
        <v>472</v>
      </c>
      <c r="F895" t="s">
        <v>168</v>
      </c>
      <c r="G895" t="s">
        <v>3</v>
      </c>
      <c r="H895">
        <v>3.9</v>
      </c>
      <c r="I895">
        <v>5</v>
      </c>
      <c r="J895">
        <v>291</v>
      </c>
      <c r="K895" t="s">
        <v>33</v>
      </c>
      <c r="L895" t="s">
        <v>64</v>
      </c>
      <c r="M895" t="s">
        <v>44</v>
      </c>
      <c r="N895">
        <v>4.7</v>
      </c>
      <c r="O895">
        <v>4.8</v>
      </c>
    </row>
    <row r="896" spans="1:15" x14ac:dyDescent="0.3">
      <c r="A896" t="s">
        <v>1735</v>
      </c>
      <c r="B896" t="s">
        <v>689</v>
      </c>
      <c r="C896" t="s">
        <v>1736</v>
      </c>
      <c r="D896" t="s">
        <v>53</v>
      </c>
      <c r="E896" t="s">
        <v>220</v>
      </c>
      <c r="F896" t="s">
        <v>55</v>
      </c>
      <c r="G896" t="s">
        <v>6</v>
      </c>
      <c r="H896">
        <v>9.3000000000000007</v>
      </c>
      <c r="I896">
        <v>25</v>
      </c>
      <c r="J896">
        <v>185</v>
      </c>
      <c r="K896" t="s">
        <v>102</v>
      </c>
      <c r="L896" t="s">
        <v>78</v>
      </c>
      <c r="M896" t="s">
        <v>44</v>
      </c>
      <c r="N896">
        <v>4.9000000000000004</v>
      </c>
      <c r="O896">
        <v>4.8</v>
      </c>
    </row>
    <row r="897" spans="1:15" x14ac:dyDescent="0.3">
      <c r="A897" t="s">
        <v>1737</v>
      </c>
      <c r="B897" t="s">
        <v>476</v>
      </c>
      <c r="C897" t="s">
        <v>1410</v>
      </c>
      <c r="D897" t="s">
        <v>61</v>
      </c>
      <c r="E897" t="s">
        <v>63</v>
      </c>
      <c r="F897" t="s">
        <v>183</v>
      </c>
      <c r="G897" t="s">
        <v>4</v>
      </c>
      <c r="H897">
        <v>8.6999999999999993</v>
      </c>
      <c r="I897">
        <v>23</v>
      </c>
      <c r="J897">
        <v>340</v>
      </c>
      <c r="K897" t="s">
        <v>42</v>
      </c>
      <c r="L897" t="s">
        <v>43</v>
      </c>
      <c r="M897" t="s">
        <v>44</v>
      </c>
      <c r="N897">
        <v>4.9000000000000004</v>
      </c>
      <c r="O897">
        <v>4.7</v>
      </c>
    </row>
    <row r="898" spans="1:15" x14ac:dyDescent="0.3">
      <c r="A898" t="s">
        <v>1738</v>
      </c>
      <c r="B898" t="s">
        <v>689</v>
      </c>
      <c r="C898" t="s">
        <v>1388</v>
      </c>
      <c r="D898" t="s">
        <v>39</v>
      </c>
      <c r="E898" t="s">
        <v>278</v>
      </c>
      <c r="F898" t="s">
        <v>40</v>
      </c>
      <c r="G898" t="s">
        <v>2</v>
      </c>
      <c r="H898">
        <v>3.1</v>
      </c>
      <c r="I898">
        <v>13</v>
      </c>
      <c r="J898">
        <v>70</v>
      </c>
      <c r="K898" t="s">
        <v>33</v>
      </c>
      <c r="L898" t="s">
        <v>78</v>
      </c>
      <c r="M898" t="s">
        <v>44</v>
      </c>
      <c r="N898">
        <v>4.7</v>
      </c>
      <c r="O898">
        <v>4.9000000000000004</v>
      </c>
    </row>
    <row r="899" spans="1:15" x14ac:dyDescent="0.3">
      <c r="A899" t="s">
        <v>1739</v>
      </c>
      <c r="B899" t="s">
        <v>450</v>
      </c>
      <c r="C899" t="s">
        <v>1740</v>
      </c>
      <c r="D899" t="s">
        <v>30</v>
      </c>
      <c r="E899" t="s">
        <v>100</v>
      </c>
      <c r="F899" t="s">
        <v>112</v>
      </c>
      <c r="G899" t="s">
        <v>6</v>
      </c>
      <c r="H899">
        <v>17.3</v>
      </c>
      <c r="I899">
        <v>54</v>
      </c>
      <c r="J899">
        <v>323</v>
      </c>
      <c r="K899" t="s">
        <v>33</v>
      </c>
      <c r="L899" t="s">
        <v>49</v>
      </c>
      <c r="M899" t="s">
        <v>44</v>
      </c>
      <c r="N899">
        <v>4.7</v>
      </c>
      <c r="O899">
        <v>5</v>
      </c>
    </row>
    <row r="900" spans="1:15" x14ac:dyDescent="0.3">
      <c r="A900" t="s">
        <v>1741</v>
      </c>
      <c r="B900" t="s">
        <v>136</v>
      </c>
      <c r="C900" t="s">
        <v>1742</v>
      </c>
      <c r="D900" t="s">
        <v>106</v>
      </c>
      <c r="E900" t="s">
        <v>107</v>
      </c>
      <c r="F900" t="s">
        <v>472</v>
      </c>
      <c r="G900" t="s">
        <v>3</v>
      </c>
      <c r="H900">
        <v>18.7</v>
      </c>
      <c r="I900">
        <v>40</v>
      </c>
      <c r="J900">
        <v>1026</v>
      </c>
      <c r="K900" t="s">
        <v>102</v>
      </c>
      <c r="L900" t="s">
        <v>43</v>
      </c>
      <c r="M900" t="s">
        <v>44</v>
      </c>
      <c r="N900">
        <v>4.8</v>
      </c>
      <c r="O900">
        <v>4.5999999999999996</v>
      </c>
    </row>
    <row r="901" spans="1:15" x14ac:dyDescent="0.3">
      <c r="A901" t="s">
        <v>1743</v>
      </c>
      <c r="B901" t="s">
        <v>264</v>
      </c>
      <c r="C901" t="s">
        <v>1506</v>
      </c>
      <c r="D901" t="s">
        <v>158</v>
      </c>
      <c r="E901" t="s">
        <v>319</v>
      </c>
      <c r="F901" t="s">
        <v>334</v>
      </c>
      <c r="G901" t="s">
        <v>6</v>
      </c>
      <c r="H901">
        <v>2.2999999999999998</v>
      </c>
      <c r="I901">
        <v>9</v>
      </c>
      <c r="J901">
        <v>125</v>
      </c>
      <c r="K901" t="s">
        <v>102</v>
      </c>
      <c r="L901" t="s">
        <v>71</v>
      </c>
      <c r="M901" t="s">
        <v>44</v>
      </c>
      <c r="N901">
        <v>4.8</v>
      </c>
      <c r="O901">
        <v>5</v>
      </c>
    </row>
    <row r="902" spans="1:15" x14ac:dyDescent="0.3">
      <c r="A902" t="s">
        <v>1744</v>
      </c>
      <c r="B902" t="s">
        <v>128</v>
      </c>
      <c r="C902" t="s">
        <v>1286</v>
      </c>
      <c r="D902" t="s">
        <v>68</v>
      </c>
      <c r="E902" t="s">
        <v>195</v>
      </c>
      <c r="F902" t="s">
        <v>69</v>
      </c>
      <c r="G902" t="s">
        <v>6</v>
      </c>
      <c r="H902">
        <v>4.8</v>
      </c>
      <c r="I902">
        <v>6</v>
      </c>
      <c r="J902">
        <v>159</v>
      </c>
      <c r="K902" t="s">
        <v>33</v>
      </c>
      <c r="L902" t="s">
        <v>49</v>
      </c>
      <c r="M902" t="s">
        <v>44</v>
      </c>
      <c r="N902">
        <v>4.5999999999999996</v>
      </c>
      <c r="O902">
        <v>4.8</v>
      </c>
    </row>
    <row r="903" spans="1:15" x14ac:dyDescent="0.3">
      <c r="A903" t="s">
        <v>1745</v>
      </c>
      <c r="B903" t="s">
        <v>174</v>
      </c>
      <c r="C903" t="s">
        <v>1536</v>
      </c>
      <c r="D903" t="s">
        <v>158</v>
      </c>
      <c r="E903" t="s">
        <v>283</v>
      </c>
      <c r="F903" t="s">
        <v>316</v>
      </c>
      <c r="G903" t="s">
        <v>7</v>
      </c>
      <c r="H903">
        <v>2</v>
      </c>
      <c r="I903">
        <v>7</v>
      </c>
      <c r="J903">
        <v>121</v>
      </c>
      <c r="K903" t="s">
        <v>102</v>
      </c>
      <c r="L903" t="s">
        <v>78</v>
      </c>
      <c r="M903" t="s">
        <v>44</v>
      </c>
      <c r="N903">
        <v>5</v>
      </c>
      <c r="O903">
        <v>5</v>
      </c>
    </row>
    <row r="904" spans="1:15" x14ac:dyDescent="0.3">
      <c r="A904" t="s">
        <v>1746</v>
      </c>
      <c r="B904" t="s">
        <v>629</v>
      </c>
      <c r="C904" t="s">
        <v>1327</v>
      </c>
      <c r="D904" t="s">
        <v>30</v>
      </c>
      <c r="E904" t="s">
        <v>31</v>
      </c>
      <c r="F904" t="s">
        <v>112</v>
      </c>
      <c r="G904" t="s">
        <v>2</v>
      </c>
      <c r="H904">
        <v>5.4</v>
      </c>
      <c r="I904">
        <v>25</v>
      </c>
      <c r="J904">
        <v>143</v>
      </c>
      <c r="K904" t="s">
        <v>375</v>
      </c>
      <c r="L904" t="s">
        <v>43</v>
      </c>
      <c r="M904" t="s">
        <v>44</v>
      </c>
      <c r="N904">
        <v>5</v>
      </c>
      <c r="O904">
        <v>4.5</v>
      </c>
    </row>
    <row r="905" spans="1:15" x14ac:dyDescent="0.3">
      <c r="A905" t="s">
        <v>1747</v>
      </c>
      <c r="B905" t="s">
        <v>189</v>
      </c>
      <c r="C905" t="s">
        <v>1742</v>
      </c>
      <c r="D905" t="s">
        <v>75</v>
      </c>
      <c r="E905" t="s">
        <v>394</v>
      </c>
      <c r="F905" t="s">
        <v>77</v>
      </c>
      <c r="G905" t="s">
        <v>3</v>
      </c>
      <c r="H905">
        <v>4.0999999999999996</v>
      </c>
      <c r="I905">
        <v>8</v>
      </c>
      <c r="J905">
        <v>294</v>
      </c>
      <c r="K905" t="s">
        <v>42</v>
      </c>
      <c r="L905" t="s">
        <v>43</v>
      </c>
      <c r="M905" t="s">
        <v>44</v>
      </c>
      <c r="N905">
        <v>4.5</v>
      </c>
      <c r="O905">
        <v>5</v>
      </c>
    </row>
    <row r="906" spans="1:15" x14ac:dyDescent="0.3">
      <c r="A906" t="s">
        <v>1748</v>
      </c>
      <c r="B906" t="s">
        <v>46</v>
      </c>
      <c r="C906" t="s">
        <v>1749</v>
      </c>
      <c r="D906" t="s">
        <v>68</v>
      </c>
      <c r="E906" t="s">
        <v>69</v>
      </c>
      <c r="F906" t="s">
        <v>70</v>
      </c>
      <c r="G906" t="s">
        <v>6</v>
      </c>
      <c r="H906">
        <v>9.6999999999999993</v>
      </c>
      <c r="I906">
        <v>26</v>
      </c>
      <c r="J906">
        <v>214</v>
      </c>
      <c r="K906" t="s">
        <v>33</v>
      </c>
      <c r="L906" t="s">
        <v>64</v>
      </c>
      <c r="M906" t="s">
        <v>44</v>
      </c>
      <c r="N906">
        <v>4.7</v>
      </c>
      <c r="O906">
        <v>4.9000000000000004</v>
      </c>
    </row>
    <row r="907" spans="1:15" x14ac:dyDescent="0.3">
      <c r="A907" t="s">
        <v>1750</v>
      </c>
      <c r="B907" t="s">
        <v>132</v>
      </c>
      <c r="C907" t="s">
        <v>862</v>
      </c>
      <c r="D907" t="s">
        <v>68</v>
      </c>
      <c r="E907" t="s">
        <v>150</v>
      </c>
      <c r="F907" t="s">
        <v>195</v>
      </c>
      <c r="G907" t="s">
        <v>6</v>
      </c>
      <c r="H907">
        <v>5.5</v>
      </c>
      <c r="I907">
        <v>13</v>
      </c>
      <c r="J907">
        <v>128</v>
      </c>
      <c r="K907" t="s">
        <v>102</v>
      </c>
      <c r="L907" t="s">
        <v>78</v>
      </c>
      <c r="M907" t="s">
        <v>44</v>
      </c>
      <c r="N907">
        <v>5</v>
      </c>
      <c r="O907">
        <v>4.7</v>
      </c>
    </row>
    <row r="908" spans="1:15" x14ac:dyDescent="0.3">
      <c r="A908" t="s">
        <v>1751</v>
      </c>
      <c r="B908" t="s">
        <v>110</v>
      </c>
      <c r="C908" t="s">
        <v>963</v>
      </c>
      <c r="D908" t="s">
        <v>61</v>
      </c>
      <c r="E908" t="s">
        <v>116</v>
      </c>
      <c r="F908" t="s">
        <v>328</v>
      </c>
      <c r="G908" t="s">
        <v>7</v>
      </c>
      <c r="H908">
        <v>7</v>
      </c>
      <c r="I908">
        <v>19</v>
      </c>
      <c r="J908">
        <v>299</v>
      </c>
      <c r="K908" t="s">
        <v>33</v>
      </c>
      <c r="L908" t="s">
        <v>71</v>
      </c>
      <c r="M908" t="s">
        <v>44</v>
      </c>
      <c r="N908">
        <v>4.5999999999999996</v>
      </c>
      <c r="O908">
        <v>4.7</v>
      </c>
    </row>
    <row r="909" spans="1:15" x14ac:dyDescent="0.3">
      <c r="A909" t="s">
        <v>1752</v>
      </c>
      <c r="B909" t="s">
        <v>232</v>
      </c>
      <c r="C909" t="s">
        <v>1753</v>
      </c>
      <c r="D909" t="s">
        <v>106</v>
      </c>
      <c r="E909" t="s">
        <v>187</v>
      </c>
      <c r="F909" t="s">
        <v>290</v>
      </c>
      <c r="G909" t="s">
        <v>6</v>
      </c>
      <c r="H909">
        <v>1</v>
      </c>
      <c r="I909">
        <v>5</v>
      </c>
      <c r="J909">
        <v>67</v>
      </c>
      <c r="K909" t="s">
        <v>33</v>
      </c>
      <c r="L909" t="s">
        <v>78</v>
      </c>
      <c r="M909" t="s">
        <v>44</v>
      </c>
      <c r="N909">
        <v>4.9000000000000004</v>
      </c>
      <c r="O909">
        <v>5</v>
      </c>
    </row>
    <row r="910" spans="1:15" x14ac:dyDescent="0.3">
      <c r="A910" t="s">
        <v>1754</v>
      </c>
      <c r="B910" t="s">
        <v>181</v>
      </c>
      <c r="C910" t="s">
        <v>763</v>
      </c>
      <c r="D910" t="s">
        <v>30</v>
      </c>
      <c r="E910" t="s">
        <v>138</v>
      </c>
      <c r="F910" t="s">
        <v>112</v>
      </c>
      <c r="G910" t="s">
        <v>3</v>
      </c>
      <c r="H910">
        <v>8.3000000000000007</v>
      </c>
      <c r="I910">
        <v>35</v>
      </c>
      <c r="J910">
        <v>463</v>
      </c>
      <c r="K910" t="s">
        <v>102</v>
      </c>
      <c r="L910" t="s">
        <v>78</v>
      </c>
      <c r="M910" t="s">
        <v>44</v>
      </c>
      <c r="N910">
        <v>5</v>
      </c>
      <c r="O910">
        <v>4.8</v>
      </c>
    </row>
    <row r="911" spans="1:15" x14ac:dyDescent="0.3">
      <c r="A911" t="s">
        <v>1755</v>
      </c>
      <c r="B911" t="s">
        <v>629</v>
      </c>
      <c r="C911" t="s">
        <v>1756</v>
      </c>
      <c r="D911" t="s">
        <v>61</v>
      </c>
      <c r="E911" t="s">
        <v>95</v>
      </c>
      <c r="F911" t="s">
        <v>191</v>
      </c>
      <c r="G911" t="s">
        <v>5</v>
      </c>
      <c r="H911">
        <v>4.5999999999999996</v>
      </c>
      <c r="I911">
        <v>13</v>
      </c>
      <c r="J911">
        <v>192</v>
      </c>
      <c r="K911" t="s">
        <v>33</v>
      </c>
      <c r="L911" t="s">
        <v>43</v>
      </c>
      <c r="M911" t="s">
        <v>44</v>
      </c>
      <c r="N911">
        <v>4.8</v>
      </c>
      <c r="O911">
        <v>5</v>
      </c>
    </row>
    <row r="912" spans="1:15" x14ac:dyDescent="0.3">
      <c r="A912" t="s">
        <v>1757</v>
      </c>
      <c r="B912" t="s">
        <v>403</v>
      </c>
      <c r="C912" t="s">
        <v>1631</v>
      </c>
      <c r="D912" t="s">
        <v>81</v>
      </c>
      <c r="E912" t="s">
        <v>201</v>
      </c>
      <c r="F912" t="s">
        <v>351</v>
      </c>
      <c r="G912" t="s">
        <v>5</v>
      </c>
      <c r="H912">
        <v>1.3</v>
      </c>
      <c r="I912">
        <v>8</v>
      </c>
      <c r="J912">
        <v>111</v>
      </c>
      <c r="K912" t="s">
        <v>33</v>
      </c>
      <c r="L912" t="s">
        <v>43</v>
      </c>
      <c r="M912" t="s">
        <v>44</v>
      </c>
      <c r="N912">
        <v>4.4000000000000004</v>
      </c>
      <c r="O912">
        <v>5</v>
      </c>
    </row>
    <row r="913" spans="1:15" x14ac:dyDescent="0.3">
      <c r="A913" t="s">
        <v>1758</v>
      </c>
      <c r="B913" t="s">
        <v>46</v>
      </c>
      <c r="C913" t="s">
        <v>434</v>
      </c>
      <c r="D913" t="s">
        <v>158</v>
      </c>
      <c r="E913" t="s">
        <v>283</v>
      </c>
      <c r="F913" t="s">
        <v>262</v>
      </c>
      <c r="G913" t="s">
        <v>2</v>
      </c>
      <c r="H913">
        <v>2.4</v>
      </c>
      <c r="I913">
        <v>5</v>
      </c>
      <c r="J913">
        <v>62</v>
      </c>
      <c r="K913" t="s">
        <v>375</v>
      </c>
      <c r="L913" t="s">
        <v>64</v>
      </c>
      <c r="M913" t="s">
        <v>44</v>
      </c>
      <c r="N913">
        <v>4.8</v>
      </c>
      <c r="O913">
        <v>4.8</v>
      </c>
    </row>
    <row r="914" spans="1:15" x14ac:dyDescent="0.3">
      <c r="A914" t="s">
        <v>1759</v>
      </c>
      <c r="B914" t="s">
        <v>441</v>
      </c>
      <c r="C914" t="s">
        <v>304</v>
      </c>
      <c r="D914" t="s">
        <v>106</v>
      </c>
      <c r="E914" t="s">
        <v>187</v>
      </c>
      <c r="F914" t="s">
        <v>443</v>
      </c>
      <c r="G914" t="s">
        <v>6</v>
      </c>
      <c r="H914">
        <v>3.9</v>
      </c>
      <c r="I914">
        <v>13</v>
      </c>
      <c r="J914">
        <v>106</v>
      </c>
      <c r="K914" t="s">
        <v>33</v>
      </c>
      <c r="L914" t="s">
        <v>49</v>
      </c>
      <c r="M914" t="s">
        <v>44</v>
      </c>
      <c r="N914">
        <v>4.3</v>
      </c>
      <c r="O914">
        <v>4.8</v>
      </c>
    </row>
    <row r="915" spans="1:15" x14ac:dyDescent="0.3">
      <c r="A915" t="s">
        <v>1760</v>
      </c>
      <c r="B915" t="s">
        <v>300</v>
      </c>
      <c r="C915" t="s">
        <v>851</v>
      </c>
      <c r="D915" t="s">
        <v>61</v>
      </c>
      <c r="E915" t="s">
        <v>116</v>
      </c>
      <c r="F915" t="s">
        <v>62</v>
      </c>
      <c r="G915" t="s">
        <v>6</v>
      </c>
      <c r="H915">
        <v>16.600000000000001</v>
      </c>
      <c r="I915">
        <v>32</v>
      </c>
      <c r="J915">
        <v>319</v>
      </c>
      <c r="K915" t="s">
        <v>375</v>
      </c>
      <c r="L915" t="s">
        <v>49</v>
      </c>
      <c r="M915" t="s">
        <v>44</v>
      </c>
      <c r="N915">
        <v>4.5999999999999996</v>
      </c>
      <c r="O915">
        <v>4.9000000000000004</v>
      </c>
    </row>
    <row r="916" spans="1:15" x14ac:dyDescent="0.3">
      <c r="A916" t="s">
        <v>1761</v>
      </c>
      <c r="B916" t="s">
        <v>128</v>
      </c>
      <c r="C916" t="s">
        <v>1762</v>
      </c>
      <c r="D916" t="s">
        <v>61</v>
      </c>
      <c r="E916" t="s">
        <v>116</v>
      </c>
      <c r="F916" t="s">
        <v>62</v>
      </c>
      <c r="G916" t="s">
        <v>3</v>
      </c>
      <c r="H916">
        <v>5.8</v>
      </c>
      <c r="I916">
        <v>13</v>
      </c>
      <c r="J916">
        <v>333</v>
      </c>
      <c r="K916" t="s">
        <v>33</v>
      </c>
      <c r="L916" t="s">
        <v>57</v>
      </c>
      <c r="M916" t="s">
        <v>35</v>
      </c>
      <c r="N916">
        <v>5</v>
      </c>
      <c r="O916">
        <v>4.9000000000000004</v>
      </c>
    </row>
    <row r="917" spans="1:15" x14ac:dyDescent="0.3">
      <c r="A917" t="s">
        <v>1763</v>
      </c>
      <c r="B917" t="s">
        <v>853</v>
      </c>
      <c r="C917" t="s">
        <v>1764</v>
      </c>
      <c r="D917" t="s">
        <v>81</v>
      </c>
      <c r="E917" t="s">
        <v>82</v>
      </c>
      <c r="F917" t="s">
        <v>91</v>
      </c>
      <c r="G917" t="s">
        <v>3</v>
      </c>
      <c r="H917">
        <v>15</v>
      </c>
      <c r="I917">
        <v>37</v>
      </c>
      <c r="J917">
        <v>673</v>
      </c>
      <c r="K917" t="s">
        <v>33</v>
      </c>
      <c r="L917" t="s">
        <v>49</v>
      </c>
      <c r="M917" t="s">
        <v>44</v>
      </c>
      <c r="N917">
        <v>4.5999999999999996</v>
      </c>
      <c r="O917">
        <v>4.8</v>
      </c>
    </row>
    <row r="918" spans="1:15" x14ac:dyDescent="0.3">
      <c r="A918" t="s">
        <v>1765</v>
      </c>
      <c r="B918" t="s">
        <v>481</v>
      </c>
      <c r="C918" t="s">
        <v>216</v>
      </c>
      <c r="D918" t="s">
        <v>106</v>
      </c>
      <c r="E918" t="s">
        <v>108</v>
      </c>
      <c r="F918" t="s">
        <v>443</v>
      </c>
      <c r="G918" t="s">
        <v>5</v>
      </c>
      <c r="H918">
        <v>2.8</v>
      </c>
      <c r="I918">
        <v>12</v>
      </c>
      <c r="J918">
        <v>113</v>
      </c>
      <c r="K918" t="s">
        <v>33</v>
      </c>
      <c r="L918" t="s">
        <v>64</v>
      </c>
      <c r="M918" t="s">
        <v>44</v>
      </c>
      <c r="N918">
        <v>5</v>
      </c>
      <c r="O918">
        <v>4.9000000000000004</v>
      </c>
    </row>
    <row r="919" spans="1:15" x14ac:dyDescent="0.3">
      <c r="A919" t="s">
        <v>1766</v>
      </c>
      <c r="B919" t="s">
        <v>300</v>
      </c>
      <c r="C919" t="s">
        <v>1767</v>
      </c>
      <c r="D919" t="s">
        <v>53</v>
      </c>
      <c r="E919" t="s">
        <v>405</v>
      </c>
      <c r="F919" t="s">
        <v>86</v>
      </c>
      <c r="G919" t="s">
        <v>4</v>
      </c>
      <c r="H919">
        <v>6.5</v>
      </c>
      <c r="I919">
        <v>11</v>
      </c>
      <c r="J919">
        <v>309</v>
      </c>
      <c r="K919" t="s">
        <v>56</v>
      </c>
      <c r="L919" t="s">
        <v>43</v>
      </c>
      <c r="M919" t="s">
        <v>44</v>
      </c>
      <c r="N919">
        <v>4.3</v>
      </c>
      <c r="O919">
        <v>4.8</v>
      </c>
    </row>
    <row r="920" spans="1:15" x14ac:dyDescent="0.3">
      <c r="A920" t="s">
        <v>1768</v>
      </c>
      <c r="B920" t="s">
        <v>51</v>
      </c>
      <c r="C920" t="s">
        <v>1769</v>
      </c>
      <c r="D920" t="s">
        <v>53</v>
      </c>
      <c r="E920" t="s">
        <v>55</v>
      </c>
      <c r="F920" t="s">
        <v>54</v>
      </c>
      <c r="G920" t="s">
        <v>2</v>
      </c>
      <c r="H920">
        <v>6.3</v>
      </c>
      <c r="I920">
        <v>17</v>
      </c>
      <c r="J920">
        <v>113</v>
      </c>
      <c r="K920" t="s">
        <v>33</v>
      </c>
      <c r="L920" t="s">
        <v>78</v>
      </c>
      <c r="M920" t="s">
        <v>44</v>
      </c>
      <c r="N920">
        <v>4.8</v>
      </c>
      <c r="O920">
        <v>4.9000000000000004</v>
      </c>
    </row>
    <row r="921" spans="1:15" x14ac:dyDescent="0.3">
      <c r="A921" t="s">
        <v>1770</v>
      </c>
      <c r="B921" t="s">
        <v>254</v>
      </c>
      <c r="C921" t="s">
        <v>119</v>
      </c>
      <c r="D921" t="s">
        <v>158</v>
      </c>
      <c r="E921" t="s">
        <v>319</v>
      </c>
      <c r="F921" t="s">
        <v>316</v>
      </c>
      <c r="G921" t="s">
        <v>7</v>
      </c>
      <c r="H921">
        <v>6.6</v>
      </c>
      <c r="I921">
        <v>15</v>
      </c>
      <c r="J921">
        <v>219</v>
      </c>
      <c r="K921" t="s">
        <v>192</v>
      </c>
      <c r="L921" t="s">
        <v>78</v>
      </c>
      <c r="M921" t="s">
        <v>44</v>
      </c>
      <c r="N921">
        <v>4.7</v>
      </c>
      <c r="O921">
        <v>4.9000000000000004</v>
      </c>
    </row>
    <row r="922" spans="1:15" x14ac:dyDescent="0.3">
      <c r="A922" t="s">
        <v>1771</v>
      </c>
      <c r="B922" t="s">
        <v>197</v>
      </c>
      <c r="C922" t="s">
        <v>793</v>
      </c>
      <c r="D922" t="s">
        <v>39</v>
      </c>
      <c r="E922" t="s">
        <v>484</v>
      </c>
      <c r="F922" t="s">
        <v>154</v>
      </c>
      <c r="G922" t="s">
        <v>2</v>
      </c>
      <c r="H922">
        <v>6.6</v>
      </c>
      <c r="I922">
        <v>21</v>
      </c>
      <c r="J922">
        <v>108</v>
      </c>
      <c r="K922" t="s">
        <v>33</v>
      </c>
      <c r="L922" t="s">
        <v>78</v>
      </c>
      <c r="M922" t="s">
        <v>44</v>
      </c>
      <c r="N922">
        <v>4.7</v>
      </c>
      <c r="O922">
        <v>4.5999999999999996</v>
      </c>
    </row>
    <row r="923" spans="1:15" x14ac:dyDescent="0.3">
      <c r="A923" t="s">
        <v>1772</v>
      </c>
      <c r="B923" t="s">
        <v>104</v>
      </c>
      <c r="C923" t="s">
        <v>123</v>
      </c>
      <c r="D923" t="s">
        <v>81</v>
      </c>
      <c r="E923" t="s">
        <v>90</v>
      </c>
      <c r="F923" t="s">
        <v>351</v>
      </c>
      <c r="G923" t="s">
        <v>2</v>
      </c>
      <c r="H923">
        <v>3.3</v>
      </c>
      <c r="I923">
        <v>16</v>
      </c>
      <c r="J923">
        <v>86</v>
      </c>
      <c r="K923" t="s">
        <v>42</v>
      </c>
      <c r="L923" t="s">
        <v>71</v>
      </c>
      <c r="M923" t="s">
        <v>44</v>
      </c>
      <c r="N923">
        <v>4.5999999999999996</v>
      </c>
      <c r="O923">
        <v>4.9000000000000004</v>
      </c>
    </row>
    <row r="924" spans="1:15" x14ac:dyDescent="0.3">
      <c r="A924" t="s">
        <v>1773</v>
      </c>
      <c r="B924" t="s">
        <v>647</v>
      </c>
      <c r="C924" t="s">
        <v>1774</v>
      </c>
      <c r="D924" t="s">
        <v>61</v>
      </c>
      <c r="E924" t="s">
        <v>191</v>
      </c>
      <c r="F924" t="s">
        <v>63</v>
      </c>
      <c r="G924" t="s">
        <v>7</v>
      </c>
      <c r="H924">
        <v>4.7</v>
      </c>
      <c r="I924">
        <v>15</v>
      </c>
      <c r="J924">
        <v>203</v>
      </c>
      <c r="K924" t="s">
        <v>42</v>
      </c>
      <c r="L924" t="s">
        <v>64</v>
      </c>
      <c r="M924" t="s">
        <v>44</v>
      </c>
      <c r="N924">
        <v>4.9000000000000004</v>
      </c>
      <c r="O924">
        <v>4.8</v>
      </c>
    </row>
    <row r="925" spans="1:15" x14ac:dyDescent="0.3">
      <c r="A925" t="s">
        <v>1775</v>
      </c>
      <c r="B925" t="s">
        <v>510</v>
      </c>
      <c r="C925" t="s">
        <v>1776</v>
      </c>
      <c r="D925" t="s">
        <v>30</v>
      </c>
      <c r="E925" t="s">
        <v>31</v>
      </c>
      <c r="F925" t="s">
        <v>179</v>
      </c>
      <c r="G925" t="s">
        <v>2</v>
      </c>
      <c r="H925">
        <v>1.4</v>
      </c>
      <c r="I925">
        <v>6</v>
      </c>
      <c r="J925">
        <v>63</v>
      </c>
      <c r="K925" t="s">
        <v>33</v>
      </c>
      <c r="L925" t="s">
        <v>78</v>
      </c>
      <c r="M925" t="s">
        <v>44</v>
      </c>
      <c r="N925">
        <v>4.3</v>
      </c>
      <c r="O925">
        <v>4.5</v>
      </c>
    </row>
    <row r="926" spans="1:15" x14ac:dyDescent="0.3">
      <c r="A926" t="s">
        <v>1777</v>
      </c>
      <c r="B926" t="s">
        <v>163</v>
      </c>
      <c r="C926" t="s">
        <v>1425</v>
      </c>
      <c r="D926" t="s">
        <v>68</v>
      </c>
      <c r="E926" t="s">
        <v>70</v>
      </c>
      <c r="F926" t="s">
        <v>120</v>
      </c>
      <c r="G926" t="s">
        <v>2</v>
      </c>
      <c r="H926">
        <v>5</v>
      </c>
      <c r="I926">
        <v>21</v>
      </c>
      <c r="J926">
        <v>88</v>
      </c>
      <c r="K926" t="s">
        <v>42</v>
      </c>
      <c r="L926" t="s">
        <v>71</v>
      </c>
      <c r="M926" t="s">
        <v>44</v>
      </c>
      <c r="N926">
        <v>4.8</v>
      </c>
      <c r="O926">
        <v>4.5</v>
      </c>
    </row>
    <row r="927" spans="1:15" x14ac:dyDescent="0.3">
      <c r="A927" t="s">
        <v>1778</v>
      </c>
      <c r="B927" t="s">
        <v>545</v>
      </c>
      <c r="C927" t="s">
        <v>1779</v>
      </c>
      <c r="D927" t="s">
        <v>53</v>
      </c>
      <c r="E927" t="s">
        <v>86</v>
      </c>
      <c r="F927" t="s">
        <v>55</v>
      </c>
      <c r="G927" t="s">
        <v>6</v>
      </c>
      <c r="H927">
        <v>5.6</v>
      </c>
      <c r="I927">
        <v>16</v>
      </c>
      <c r="J927">
        <v>163</v>
      </c>
      <c r="K927" t="s">
        <v>33</v>
      </c>
      <c r="L927" t="s">
        <v>34</v>
      </c>
      <c r="M927" t="s">
        <v>35</v>
      </c>
      <c r="N927">
        <v>5</v>
      </c>
      <c r="O927">
        <v>4.5</v>
      </c>
    </row>
    <row r="928" spans="1:15" x14ac:dyDescent="0.3">
      <c r="A928" t="s">
        <v>1780</v>
      </c>
      <c r="B928" t="s">
        <v>531</v>
      </c>
      <c r="C928" t="s">
        <v>1079</v>
      </c>
      <c r="D928" t="s">
        <v>81</v>
      </c>
      <c r="E928" t="s">
        <v>82</v>
      </c>
      <c r="F928" t="s">
        <v>83</v>
      </c>
      <c r="G928" t="s">
        <v>4</v>
      </c>
      <c r="H928">
        <v>1</v>
      </c>
      <c r="I928">
        <v>8</v>
      </c>
      <c r="J928">
        <v>124</v>
      </c>
      <c r="K928" t="s">
        <v>42</v>
      </c>
      <c r="L928" t="s">
        <v>43</v>
      </c>
      <c r="M928" t="s">
        <v>44</v>
      </c>
      <c r="N928">
        <v>4.8</v>
      </c>
      <c r="O928">
        <v>4.8</v>
      </c>
    </row>
    <row r="929" spans="1:15" x14ac:dyDescent="0.3">
      <c r="A929" t="s">
        <v>1781</v>
      </c>
      <c r="B929" t="s">
        <v>349</v>
      </c>
      <c r="C929" t="s">
        <v>1782</v>
      </c>
      <c r="D929" t="s">
        <v>30</v>
      </c>
      <c r="E929" t="s">
        <v>31</v>
      </c>
      <c r="F929" t="s">
        <v>138</v>
      </c>
      <c r="G929" t="s">
        <v>6</v>
      </c>
      <c r="H929">
        <v>2.9</v>
      </c>
      <c r="I929">
        <v>15</v>
      </c>
      <c r="J929">
        <v>107</v>
      </c>
      <c r="K929" t="s">
        <v>102</v>
      </c>
      <c r="L929" t="s">
        <v>34</v>
      </c>
      <c r="M929" t="s">
        <v>35</v>
      </c>
      <c r="N929">
        <v>4.3</v>
      </c>
      <c r="O929">
        <v>4.9000000000000004</v>
      </c>
    </row>
    <row r="930" spans="1:15" x14ac:dyDescent="0.3">
      <c r="A930" t="s">
        <v>1783</v>
      </c>
      <c r="B930" t="s">
        <v>93</v>
      </c>
      <c r="C930" t="s">
        <v>1784</v>
      </c>
      <c r="D930" t="s">
        <v>68</v>
      </c>
      <c r="E930" t="s">
        <v>172</v>
      </c>
      <c r="F930" t="s">
        <v>195</v>
      </c>
      <c r="G930" t="s">
        <v>5</v>
      </c>
      <c r="H930">
        <v>8.6</v>
      </c>
      <c r="I930">
        <v>19</v>
      </c>
      <c r="J930">
        <v>223</v>
      </c>
      <c r="K930" t="s">
        <v>33</v>
      </c>
      <c r="L930" t="s">
        <v>57</v>
      </c>
      <c r="M930" t="s">
        <v>35</v>
      </c>
      <c r="N930">
        <v>4.9000000000000004</v>
      </c>
      <c r="O930">
        <v>4.8</v>
      </c>
    </row>
    <row r="931" spans="1:15" x14ac:dyDescent="0.3">
      <c r="A931" t="s">
        <v>1785</v>
      </c>
      <c r="B931" t="s">
        <v>400</v>
      </c>
      <c r="C931" t="s">
        <v>1786</v>
      </c>
      <c r="D931" t="s">
        <v>61</v>
      </c>
      <c r="E931" t="s">
        <v>96</v>
      </c>
      <c r="F931" t="s">
        <v>191</v>
      </c>
      <c r="G931" t="s">
        <v>6</v>
      </c>
      <c r="H931">
        <v>10.7</v>
      </c>
      <c r="I931">
        <v>29</v>
      </c>
      <c r="J931">
        <v>224</v>
      </c>
      <c r="K931" t="s">
        <v>33</v>
      </c>
      <c r="L931" t="s">
        <v>161</v>
      </c>
      <c r="M931" t="s">
        <v>35</v>
      </c>
      <c r="N931">
        <v>4.5999999999999996</v>
      </c>
      <c r="O931">
        <v>4.8</v>
      </c>
    </row>
    <row r="932" spans="1:15" x14ac:dyDescent="0.3">
      <c r="A932" t="s">
        <v>1787</v>
      </c>
      <c r="B932" t="s">
        <v>373</v>
      </c>
      <c r="C932" t="s">
        <v>292</v>
      </c>
      <c r="D932" t="s">
        <v>30</v>
      </c>
      <c r="E932" t="s">
        <v>112</v>
      </c>
      <c r="F932" t="s">
        <v>100</v>
      </c>
      <c r="G932" t="s">
        <v>4</v>
      </c>
      <c r="H932">
        <v>3.7</v>
      </c>
      <c r="I932">
        <v>19</v>
      </c>
      <c r="J932">
        <v>207</v>
      </c>
      <c r="K932" t="s">
        <v>33</v>
      </c>
      <c r="L932" t="s">
        <v>64</v>
      </c>
      <c r="M932" t="s">
        <v>44</v>
      </c>
      <c r="N932">
        <v>5</v>
      </c>
      <c r="O932">
        <v>5</v>
      </c>
    </row>
    <row r="933" spans="1:15" x14ac:dyDescent="0.3">
      <c r="A933" t="s">
        <v>1788</v>
      </c>
      <c r="B933" t="s">
        <v>276</v>
      </c>
      <c r="C933" t="s">
        <v>1789</v>
      </c>
      <c r="D933" t="s">
        <v>30</v>
      </c>
      <c r="E933" t="s">
        <v>142</v>
      </c>
      <c r="F933" t="s">
        <v>32</v>
      </c>
      <c r="G933" t="s">
        <v>6</v>
      </c>
      <c r="H933">
        <v>13.9</v>
      </c>
      <c r="I933">
        <v>45</v>
      </c>
      <c r="J933">
        <v>302</v>
      </c>
      <c r="K933" t="s">
        <v>33</v>
      </c>
      <c r="L933" t="s">
        <v>78</v>
      </c>
      <c r="M933" t="s">
        <v>44</v>
      </c>
      <c r="N933">
        <v>4.5999999999999996</v>
      </c>
      <c r="O933">
        <v>4.9000000000000004</v>
      </c>
    </row>
    <row r="934" spans="1:15" x14ac:dyDescent="0.3">
      <c r="A934" t="s">
        <v>1790</v>
      </c>
      <c r="B934" t="s">
        <v>510</v>
      </c>
      <c r="C934" t="s">
        <v>1791</v>
      </c>
      <c r="D934" t="s">
        <v>158</v>
      </c>
      <c r="E934" t="s">
        <v>319</v>
      </c>
      <c r="F934" t="s">
        <v>159</v>
      </c>
      <c r="G934" t="s">
        <v>6</v>
      </c>
      <c r="H934">
        <v>9.8000000000000007</v>
      </c>
      <c r="I934">
        <v>30</v>
      </c>
      <c r="J934">
        <v>239</v>
      </c>
      <c r="K934" t="s">
        <v>42</v>
      </c>
      <c r="L934" t="s">
        <v>64</v>
      </c>
      <c r="M934" t="s">
        <v>44</v>
      </c>
      <c r="N934">
        <v>5</v>
      </c>
      <c r="O934">
        <v>4.9000000000000004</v>
      </c>
    </row>
    <row r="935" spans="1:15" x14ac:dyDescent="0.3">
      <c r="A935" t="s">
        <v>1792</v>
      </c>
      <c r="B935" t="s">
        <v>170</v>
      </c>
      <c r="C935" t="s">
        <v>1793</v>
      </c>
      <c r="D935" t="s">
        <v>61</v>
      </c>
      <c r="E935" t="s">
        <v>191</v>
      </c>
      <c r="F935" t="s">
        <v>328</v>
      </c>
      <c r="G935" t="s">
        <v>7</v>
      </c>
      <c r="H935">
        <v>9.1</v>
      </c>
      <c r="I935">
        <v>20</v>
      </c>
      <c r="J935">
        <v>299</v>
      </c>
      <c r="K935" t="s">
        <v>375</v>
      </c>
      <c r="L935" t="s">
        <v>64</v>
      </c>
      <c r="M935" t="s">
        <v>44</v>
      </c>
      <c r="N935">
        <v>4.5999999999999996</v>
      </c>
      <c r="O935">
        <v>5</v>
      </c>
    </row>
    <row r="936" spans="1:15" x14ac:dyDescent="0.3">
      <c r="A936" t="s">
        <v>1794</v>
      </c>
      <c r="B936" t="s">
        <v>468</v>
      </c>
      <c r="C936" t="s">
        <v>804</v>
      </c>
      <c r="D936" t="s">
        <v>39</v>
      </c>
      <c r="E936" t="s">
        <v>356</v>
      </c>
      <c r="F936" t="s">
        <v>278</v>
      </c>
      <c r="G936" t="s">
        <v>4</v>
      </c>
      <c r="H936">
        <v>2.4</v>
      </c>
      <c r="I936">
        <v>5</v>
      </c>
      <c r="J936">
        <v>133</v>
      </c>
      <c r="K936" t="s">
        <v>33</v>
      </c>
      <c r="L936" t="s">
        <v>49</v>
      </c>
      <c r="M936" t="s">
        <v>44</v>
      </c>
      <c r="N936">
        <v>5</v>
      </c>
      <c r="O936">
        <v>4.8</v>
      </c>
    </row>
    <row r="937" spans="1:15" x14ac:dyDescent="0.3">
      <c r="A937" t="s">
        <v>1795</v>
      </c>
      <c r="B937" t="s">
        <v>144</v>
      </c>
      <c r="C937" t="s">
        <v>824</v>
      </c>
      <c r="D937" t="s">
        <v>61</v>
      </c>
      <c r="E937" t="s">
        <v>116</v>
      </c>
      <c r="F937" t="s">
        <v>183</v>
      </c>
      <c r="G937" t="s">
        <v>2</v>
      </c>
      <c r="H937">
        <v>3.4</v>
      </c>
      <c r="I937">
        <v>9</v>
      </c>
      <c r="J937">
        <v>69</v>
      </c>
      <c r="K937" t="s">
        <v>42</v>
      </c>
      <c r="L937" t="s">
        <v>78</v>
      </c>
      <c r="M937" t="s">
        <v>44</v>
      </c>
      <c r="N937">
        <v>5</v>
      </c>
      <c r="O937">
        <v>5</v>
      </c>
    </row>
    <row r="938" spans="1:15" x14ac:dyDescent="0.3">
      <c r="A938" t="s">
        <v>1796</v>
      </c>
      <c r="B938" t="s">
        <v>249</v>
      </c>
      <c r="C938" t="s">
        <v>1177</v>
      </c>
      <c r="D938" t="s">
        <v>39</v>
      </c>
      <c r="E938" t="s">
        <v>356</v>
      </c>
      <c r="F938" t="s">
        <v>41</v>
      </c>
      <c r="G938" t="s">
        <v>2</v>
      </c>
      <c r="H938">
        <v>6.5</v>
      </c>
      <c r="I938">
        <v>22</v>
      </c>
      <c r="J938">
        <v>119</v>
      </c>
      <c r="K938" t="s">
        <v>102</v>
      </c>
      <c r="L938" t="s">
        <v>64</v>
      </c>
      <c r="M938" t="s">
        <v>44</v>
      </c>
      <c r="N938">
        <v>4.9000000000000004</v>
      </c>
      <c r="O938">
        <v>5</v>
      </c>
    </row>
    <row r="939" spans="1:15" x14ac:dyDescent="0.3">
      <c r="A939" t="s">
        <v>1797</v>
      </c>
      <c r="B939" t="s">
        <v>853</v>
      </c>
      <c r="C939" t="s">
        <v>318</v>
      </c>
      <c r="D939" t="s">
        <v>61</v>
      </c>
      <c r="E939" t="s">
        <v>96</v>
      </c>
      <c r="F939" t="s">
        <v>191</v>
      </c>
      <c r="G939" t="s">
        <v>7</v>
      </c>
      <c r="H939">
        <v>8.5</v>
      </c>
      <c r="I939">
        <v>25</v>
      </c>
      <c r="J939">
        <v>358</v>
      </c>
      <c r="K939" t="s">
        <v>33</v>
      </c>
      <c r="L939" t="s">
        <v>43</v>
      </c>
      <c r="M939" t="s">
        <v>44</v>
      </c>
      <c r="N939">
        <v>5</v>
      </c>
      <c r="O939">
        <v>4.9000000000000004</v>
      </c>
    </row>
    <row r="940" spans="1:15" x14ac:dyDescent="0.3">
      <c r="A940" t="s">
        <v>1798</v>
      </c>
      <c r="B940" t="s">
        <v>303</v>
      </c>
      <c r="C940" t="s">
        <v>1799</v>
      </c>
      <c r="D940" t="s">
        <v>106</v>
      </c>
      <c r="E940" t="s">
        <v>472</v>
      </c>
      <c r="F940" t="s">
        <v>107</v>
      </c>
      <c r="G940" t="s">
        <v>6</v>
      </c>
      <c r="H940">
        <v>10.6</v>
      </c>
      <c r="I940">
        <v>27</v>
      </c>
      <c r="J940">
        <v>249</v>
      </c>
      <c r="K940" t="s">
        <v>33</v>
      </c>
      <c r="L940" t="s">
        <v>71</v>
      </c>
      <c r="M940" t="s">
        <v>44</v>
      </c>
      <c r="N940">
        <v>5</v>
      </c>
      <c r="O940">
        <v>4.8</v>
      </c>
    </row>
    <row r="941" spans="1:15" x14ac:dyDescent="0.3">
      <c r="A941" t="s">
        <v>1800</v>
      </c>
      <c r="B941" t="s">
        <v>303</v>
      </c>
      <c r="C941" t="s">
        <v>606</v>
      </c>
      <c r="D941" t="s">
        <v>61</v>
      </c>
      <c r="E941" t="s">
        <v>191</v>
      </c>
      <c r="F941" t="s">
        <v>62</v>
      </c>
      <c r="G941" t="s">
        <v>5</v>
      </c>
      <c r="H941">
        <v>4.3</v>
      </c>
      <c r="I941">
        <v>8</v>
      </c>
      <c r="J941">
        <v>168</v>
      </c>
      <c r="K941" t="s">
        <v>102</v>
      </c>
      <c r="L941" t="s">
        <v>71</v>
      </c>
      <c r="M941" t="s">
        <v>44</v>
      </c>
      <c r="N941">
        <v>4.9000000000000004</v>
      </c>
      <c r="O941">
        <v>4.9000000000000004</v>
      </c>
    </row>
    <row r="942" spans="1:15" x14ac:dyDescent="0.3">
      <c r="A942" t="s">
        <v>1801</v>
      </c>
      <c r="B942" t="s">
        <v>197</v>
      </c>
      <c r="C942" t="s">
        <v>797</v>
      </c>
      <c r="D942" t="s">
        <v>30</v>
      </c>
      <c r="E942" t="s">
        <v>31</v>
      </c>
      <c r="F942" t="s">
        <v>138</v>
      </c>
      <c r="G942" t="s">
        <v>2</v>
      </c>
      <c r="H942">
        <v>12.7</v>
      </c>
      <c r="I942">
        <v>36</v>
      </c>
      <c r="J942">
        <v>161</v>
      </c>
      <c r="K942" t="s">
        <v>102</v>
      </c>
      <c r="L942" t="s">
        <v>49</v>
      </c>
      <c r="M942" t="s">
        <v>44</v>
      </c>
      <c r="N942">
        <v>4.5</v>
      </c>
      <c r="O942">
        <v>4.8</v>
      </c>
    </row>
    <row r="943" spans="1:15" x14ac:dyDescent="0.3">
      <c r="A943" t="s">
        <v>1802</v>
      </c>
      <c r="B943" t="s">
        <v>510</v>
      </c>
      <c r="C943" t="s">
        <v>212</v>
      </c>
      <c r="D943" t="s">
        <v>68</v>
      </c>
      <c r="E943" t="s">
        <v>130</v>
      </c>
      <c r="F943" t="s">
        <v>70</v>
      </c>
      <c r="G943" t="s">
        <v>5</v>
      </c>
      <c r="H943">
        <v>14.9</v>
      </c>
      <c r="I943">
        <v>37</v>
      </c>
      <c r="J943">
        <v>484</v>
      </c>
      <c r="K943" t="s">
        <v>33</v>
      </c>
      <c r="L943" t="s">
        <v>71</v>
      </c>
      <c r="M943" t="s">
        <v>44</v>
      </c>
      <c r="N943">
        <v>4.5</v>
      </c>
      <c r="O943">
        <v>4.8</v>
      </c>
    </row>
    <row r="944" spans="1:15" x14ac:dyDescent="0.3">
      <c r="A944" t="s">
        <v>1803</v>
      </c>
      <c r="B944" t="s">
        <v>243</v>
      </c>
      <c r="C944" t="s">
        <v>1804</v>
      </c>
      <c r="D944" t="s">
        <v>39</v>
      </c>
      <c r="E944" t="s">
        <v>278</v>
      </c>
      <c r="F944" t="s">
        <v>155</v>
      </c>
      <c r="G944" t="s">
        <v>4</v>
      </c>
      <c r="H944">
        <v>4</v>
      </c>
      <c r="I944">
        <v>10</v>
      </c>
      <c r="J944">
        <v>212</v>
      </c>
      <c r="K944" t="s">
        <v>33</v>
      </c>
      <c r="L944" t="s">
        <v>78</v>
      </c>
      <c r="M944" t="s">
        <v>44</v>
      </c>
      <c r="N944">
        <v>4.8</v>
      </c>
      <c r="O944">
        <v>4.7</v>
      </c>
    </row>
    <row r="945" spans="1:15" x14ac:dyDescent="0.3">
      <c r="A945" t="s">
        <v>1805</v>
      </c>
      <c r="B945" t="s">
        <v>273</v>
      </c>
      <c r="C945" t="s">
        <v>1806</v>
      </c>
      <c r="D945" t="s">
        <v>81</v>
      </c>
      <c r="E945" t="s">
        <v>82</v>
      </c>
      <c r="F945" t="s">
        <v>351</v>
      </c>
      <c r="G945" t="s">
        <v>2</v>
      </c>
      <c r="H945">
        <v>4.0999999999999996</v>
      </c>
      <c r="I945">
        <v>17</v>
      </c>
      <c r="J945">
        <v>79</v>
      </c>
      <c r="K945" t="s">
        <v>375</v>
      </c>
      <c r="L945" t="s">
        <v>78</v>
      </c>
      <c r="M945" t="s">
        <v>44</v>
      </c>
      <c r="N945">
        <v>5</v>
      </c>
      <c r="O945">
        <v>5</v>
      </c>
    </row>
    <row r="946" spans="1:15" x14ac:dyDescent="0.3">
      <c r="A946" t="s">
        <v>1807</v>
      </c>
      <c r="B946" t="s">
        <v>254</v>
      </c>
      <c r="C946" t="s">
        <v>1227</v>
      </c>
      <c r="D946" t="s">
        <v>30</v>
      </c>
      <c r="E946" t="s">
        <v>31</v>
      </c>
      <c r="F946" t="s">
        <v>32</v>
      </c>
      <c r="G946" t="s">
        <v>2</v>
      </c>
      <c r="H946">
        <v>6.6</v>
      </c>
      <c r="I946">
        <v>19</v>
      </c>
      <c r="J946">
        <v>102</v>
      </c>
      <c r="K946" t="s">
        <v>42</v>
      </c>
      <c r="L946" t="s">
        <v>43</v>
      </c>
      <c r="M946" t="s">
        <v>44</v>
      </c>
      <c r="N946">
        <v>4.3</v>
      </c>
      <c r="O946">
        <v>4.5999999999999996</v>
      </c>
    </row>
    <row r="947" spans="1:15" x14ac:dyDescent="0.3">
      <c r="A947" t="s">
        <v>1808</v>
      </c>
      <c r="B947" t="s">
        <v>51</v>
      </c>
      <c r="C947" t="s">
        <v>47</v>
      </c>
      <c r="D947" t="s">
        <v>61</v>
      </c>
      <c r="E947" t="s">
        <v>62</v>
      </c>
      <c r="F947" t="s">
        <v>96</v>
      </c>
      <c r="G947" t="s">
        <v>4</v>
      </c>
      <c r="H947">
        <v>3.5</v>
      </c>
      <c r="I947">
        <v>14</v>
      </c>
      <c r="J947">
        <v>177</v>
      </c>
      <c r="K947" t="s">
        <v>42</v>
      </c>
      <c r="L947" t="s">
        <v>49</v>
      </c>
      <c r="M947" t="s">
        <v>44</v>
      </c>
      <c r="N947">
        <v>5</v>
      </c>
      <c r="O947">
        <v>4.7</v>
      </c>
    </row>
    <row r="948" spans="1:15" x14ac:dyDescent="0.3">
      <c r="A948" t="s">
        <v>1809</v>
      </c>
      <c r="B948" t="s">
        <v>853</v>
      </c>
      <c r="C948" t="s">
        <v>209</v>
      </c>
      <c r="D948" t="s">
        <v>30</v>
      </c>
      <c r="E948" t="s">
        <v>32</v>
      </c>
      <c r="F948" t="s">
        <v>101</v>
      </c>
      <c r="G948" t="s">
        <v>2</v>
      </c>
      <c r="H948">
        <v>4.8</v>
      </c>
      <c r="I948">
        <v>15</v>
      </c>
      <c r="J948">
        <v>111</v>
      </c>
      <c r="K948" t="s">
        <v>42</v>
      </c>
      <c r="L948" t="s">
        <v>64</v>
      </c>
      <c r="M948" t="s">
        <v>44</v>
      </c>
      <c r="N948">
        <v>4.5</v>
      </c>
      <c r="O948">
        <v>4.5999999999999996</v>
      </c>
    </row>
    <row r="949" spans="1:15" x14ac:dyDescent="0.3">
      <c r="A949" t="s">
        <v>1810</v>
      </c>
      <c r="B949" t="s">
        <v>586</v>
      </c>
      <c r="C949" t="s">
        <v>1811</v>
      </c>
      <c r="D949" t="s">
        <v>158</v>
      </c>
      <c r="E949" t="s">
        <v>334</v>
      </c>
      <c r="F949" t="s">
        <v>284</v>
      </c>
      <c r="G949" t="s">
        <v>2</v>
      </c>
      <c r="H949">
        <v>7.4</v>
      </c>
      <c r="I949">
        <v>13</v>
      </c>
      <c r="J949">
        <v>135</v>
      </c>
      <c r="K949" t="s">
        <v>42</v>
      </c>
      <c r="L949" t="s">
        <v>43</v>
      </c>
      <c r="M949" t="s">
        <v>44</v>
      </c>
      <c r="N949">
        <v>5</v>
      </c>
      <c r="O949">
        <v>4.5</v>
      </c>
    </row>
    <row r="950" spans="1:15" x14ac:dyDescent="0.3">
      <c r="A950" t="s">
        <v>1812</v>
      </c>
      <c r="B950" t="s">
        <v>481</v>
      </c>
      <c r="C950" t="s">
        <v>1813</v>
      </c>
      <c r="D950" t="s">
        <v>81</v>
      </c>
      <c r="E950" t="s">
        <v>83</v>
      </c>
      <c r="F950" t="s">
        <v>134</v>
      </c>
      <c r="G950" t="s">
        <v>4</v>
      </c>
      <c r="H950">
        <v>2.7</v>
      </c>
      <c r="I950">
        <v>9</v>
      </c>
      <c r="J950">
        <v>156</v>
      </c>
      <c r="K950" t="s">
        <v>33</v>
      </c>
      <c r="L950" t="s">
        <v>71</v>
      </c>
      <c r="M950" t="s">
        <v>44</v>
      </c>
      <c r="N950">
        <v>4.7</v>
      </c>
      <c r="O950">
        <v>5</v>
      </c>
    </row>
    <row r="951" spans="1:15" x14ac:dyDescent="0.3">
      <c r="A951" t="s">
        <v>1814</v>
      </c>
      <c r="B951" t="s">
        <v>200</v>
      </c>
      <c r="C951" t="s">
        <v>1815</v>
      </c>
      <c r="D951" t="s">
        <v>75</v>
      </c>
      <c r="E951" t="s">
        <v>230</v>
      </c>
      <c r="F951" t="s">
        <v>146</v>
      </c>
      <c r="G951" t="s">
        <v>4</v>
      </c>
      <c r="H951">
        <v>12.2</v>
      </c>
      <c r="I951">
        <v>34</v>
      </c>
      <c r="J951">
        <v>462</v>
      </c>
      <c r="K951" t="s">
        <v>33</v>
      </c>
      <c r="L951" t="s">
        <v>64</v>
      </c>
      <c r="M951" t="s">
        <v>44</v>
      </c>
      <c r="N951">
        <v>4.4000000000000004</v>
      </c>
      <c r="O951">
        <v>4.8</v>
      </c>
    </row>
    <row r="952" spans="1:15" x14ac:dyDescent="0.3">
      <c r="A952" t="s">
        <v>1816</v>
      </c>
      <c r="B952" t="s">
        <v>468</v>
      </c>
      <c r="C952" t="s">
        <v>364</v>
      </c>
      <c r="D952" t="s">
        <v>61</v>
      </c>
      <c r="E952" t="s">
        <v>328</v>
      </c>
      <c r="F952" t="s">
        <v>96</v>
      </c>
      <c r="G952" t="s">
        <v>4</v>
      </c>
      <c r="H952">
        <v>7</v>
      </c>
      <c r="I952">
        <v>13</v>
      </c>
      <c r="J952">
        <v>359</v>
      </c>
      <c r="K952" t="s">
        <v>102</v>
      </c>
      <c r="L952" t="s">
        <v>71</v>
      </c>
      <c r="M952" t="s">
        <v>44</v>
      </c>
      <c r="N952">
        <v>4.8</v>
      </c>
      <c r="O952">
        <v>4.9000000000000004</v>
      </c>
    </row>
    <row r="953" spans="1:15" x14ac:dyDescent="0.3">
      <c r="A953" t="s">
        <v>1817</v>
      </c>
      <c r="B953" t="s">
        <v>340</v>
      </c>
      <c r="C953" t="s">
        <v>1818</v>
      </c>
      <c r="D953" t="s">
        <v>30</v>
      </c>
      <c r="E953" t="s">
        <v>31</v>
      </c>
      <c r="F953" t="s">
        <v>138</v>
      </c>
      <c r="G953" t="s">
        <v>6</v>
      </c>
      <c r="H953">
        <v>8.8000000000000007</v>
      </c>
      <c r="I953">
        <v>32</v>
      </c>
      <c r="J953">
        <v>206</v>
      </c>
      <c r="K953" t="s">
        <v>42</v>
      </c>
      <c r="L953" t="s">
        <v>64</v>
      </c>
      <c r="M953" t="s">
        <v>44</v>
      </c>
      <c r="N953">
        <v>4.9000000000000004</v>
      </c>
      <c r="O953">
        <v>4.8</v>
      </c>
    </row>
    <row r="954" spans="1:15" x14ac:dyDescent="0.3">
      <c r="A954" t="s">
        <v>1819</v>
      </c>
      <c r="B954" t="s">
        <v>148</v>
      </c>
      <c r="C954" t="s">
        <v>1820</v>
      </c>
      <c r="D954" t="s">
        <v>106</v>
      </c>
      <c r="E954" t="s">
        <v>187</v>
      </c>
      <c r="F954" t="s">
        <v>290</v>
      </c>
      <c r="G954" t="s">
        <v>6</v>
      </c>
      <c r="H954">
        <v>5</v>
      </c>
      <c r="I954">
        <v>13</v>
      </c>
      <c r="J954">
        <v>143</v>
      </c>
      <c r="K954" t="s">
        <v>33</v>
      </c>
      <c r="L954" t="s">
        <v>78</v>
      </c>
      <c r="M954" t="s">
        <v>44</v>
      </c>
      <c r="N954">
        <v>4.8</v>
      </c>
      <c r="O954">
        <v>5</v>
      </c>
    </row>
    <row r="955" spans="1:15" x14ac:dyDescent="0.3">
      <c r="A955" t="s">
        <v>1821</v>
      </c>
      <c r="B955" t="s">
        <v>481</v>
      </c>
      <c r="C955" t="s">
        <v>1822</v>
      </c>
      <c r="D955" t="s">
        <v>30</v>
      </c>
      <c r="E955" t="s">
        <v>31</v>
      </c>
      <c r="F955" t="s">
        <v>142</v>
      </c>
      <c r="G955" t="s">
        <v>7</v>
      </c>
      <c r="H955">
        <v>5.2</v>
      </c>
      <c r="I955">
        <v>19</v>
      </c>
      <c r="J955">
        <v>209</v>
      </c>
      <c r="K955" t="s">
        <v>33</v>
      </c>
      <c r="L955" t="s">
        <v>64</v>
      </c>
      <c r="M955" t="s">
        <v>44</v>
      </c>
      <c r="N955">
        <v>4.7</v>
      </c>
      <c r="O955">
        <v>4.9000000000000004</v>
      </c>
    </row>
    <row r="956" spans="1:15" x14ac:dyDescent="0.3">
      <c r="A956" t="s">
        <v>1823</v>
      </c>
      <c r="B956" t="s">
        <v>476</v>
      </c>
      <c r="C956" t="s">
        <v>708</v>
      </c>
      <c r="D956" t="s">
        <v>158</v>
      </c>
      <c r="E956" t="s">
        <v>160</v>
      </c>
      <c r="F956" t="s">
        <v>262</v>
      </c>
      <c r="G956" t="s">
        <v>2</v>
      </c>
      <c r="H956">
        <v>2.5</v>
      </c>
      <c r="I956">
        <v>5</v>
      </c>
      <c r="J956">
        <v>74</v>
      </c>
      <c r="K956" t="s">
        <v>33</v>
      </c>
      <c r="L956" t="s">
        <v>78</v>
      </c>
      <c r="M956" t="s">
        <v>44</v>
      </c>
      <c r="N956">
        <v>5</v>
      </c>
      <c r="O956">
        <v>4.9000000000000004</v>
      </c>
    </row>
    <row r="957" spans="1:15" x14ac:dyDescent="0.3">
      <c r="A957" t="s">
        <v>1824</v>
      </c>
      <c r="B957" t="s">
        <v>629</v>
      </c>
      <c r="C957" t="s">
        <v>909</v>
      </c>
      <c r="D957" t="s">
        <v>39</v>
      </c>
      <c r="E957" t="s">
        <v>278</v>
      </c>
      <c r="F957" t="s">
        <v>154</v>
      </c>
      <c r="G957" t="s">
        <v>4</v>
      </c>
      <c r="H957">
        <v>8.1</v>
      </c>
      <c r="I957">
        <v>13</v>
      </c>
      <c r="J957">
        <v>251</v>
      </c>
      <c r="K957" t="s">
        <v>192</v>
      </c>
      <c r="L957" t="s">
        <v>49</v>
      </c>
      <c r="M957" t="s">
        <v>44</v>
      </c>
      <c r="N957">
        <v>4.8</v>
      </c>
      <c r="O957">
        <v>4.7</v>
      </c>
    </row>
    <row r="958" spans="1:15" x14ac:dyDescent="0.3">
      <c r="A958" t="s">
        <v>1825</v>
      </c>
      <c r="B958" t="s">
        <v>562</v>
      </c>
      <c r="C958" t="s">
        <v>1826</v>
      </c>
      <c r="D958" t="s">
        <v>53</v>
      </c>
      <c r="E958" t="s">
        <v>54</v>
      </c>
      <c r="F958" t="s">
        <v>405</v>
      </c>
      <c r="G958" t="s">
        <v>3</v>
      </c>
      <c r="H958">
        <v>21.9</v>
      </c>
      <c r="I958">
        <v>49</v>
      </c>
      <c r="J958">
        <v>748</v>
      </c>
      <c r="K958" t="s">
        <v>33</v>
      </c>
      <c r="L958" t="s">
        <v>34</v>
      </c>
      <c r="M958" t="s">
        <v>35</v>
      </c>
      <c r="N958">
        <v>4.7</v>
      </c>
      <c r="O958">
        <v>4.9000000000000004</v>
      </c>
    </row>
    <row r="959" spans="1:15" x14ac:dyDescent="0.3">
      <c r="A959" t="s">
        <v>1827</v>
      </c>
      <c r="B959" t="s">
        <v>197</v>
      </c>
      <c r="C959" t="s">
        <v>1828</v>
      </c>
      <c r="D959" t="s">
        <v>30</v>
      </c>
      <c r="E959" t="s">
        <v>179</v>
      </c>
      <c r="F959" t="s">
        <v>32</v>
      </c>
      <c r="G959" t="s">
        <v>7</v>
      </c>
      <c r="H959">
        <v>8.8000000000000007</v>
      </c>
      <c r="I959">
        <v>27</v>
      </c>
      <c r="J959">
        <v>227</v>
      </c>
      <c r="K959" t="s">
        <v>192</v>
      </c>
      <c r="L959" t="s">
        <v>49</v>
      </c>
      <c r="M959" t="s">
        <v>44</v>
      </c>
      <c r="N959">
        <v>4.7</v>
      </c>
      <c r="O959">
        <v>4.8</v>
      </c>
    </row>
    <row r="960" spans="1:15" x14ac:dyDescent="0.3">
      <c r="A960" t="s">
        <v>1829</v>
      </c>
      <c r="B960" t="s">
        <v>197</v>
      </c>
      <c r="C960" t="s">
        <v>1830</v>
      </c>
      <c r="D960" t="s">
        <v>53</v>
      </c>
      <c r="E960" t="s">
        <v>220</v>
      </c>
      <c r="F960" t="s">
        <v>515</v>
      </c>
      <c r="G960" t="s">
        <v>2</v>
      </c>
      <c r="H960">
        <v>1.5</v>
      </c>
      <c r="I960">
        <v>6</v>
      </c>
      <c r="J960">
        <v>44</v>
      </c>
      <c r="K960" t="s">
        <v>33</v>
      </c>
      <c r="L960" t="s">
        <v>49</v>
      </c>
      <c r="M960" t="s">
        <v>44</v>
      </c>
      <c r="N960">
        <v>4.5999999999999996</v>
      </c>
      <c r="O960">
        <v>4.5999999999999996</v>
      </c>
    </row>
    <row r="961" spans="1:15" x14ac:dyDescent="0.3">
      <c r="A961" t="s">
        <v>1831</v>
      </c>
      <c r="B961" t="s">
        <v>249</v>
      </c>
      <c r="C961" t="s">
        <v>1832</v>
      </c>
      <c r="D961" t="s">
        <v>53</v>
      </c>
      <c r="E961" t="s">
        <v>236</v>
      </c>
      <c r="F961" t="s">
        <v>220</v>
      </c>
      <c r="G961" t="s">
        <v>7</v>
      </c>
      <c r="H961">
        <v>4.5</v>
      </c>
      <c r="I961">
        <v>10</v>
      </c>
      <c r="J961">
        <v>222</v>
      </c>
      <c r="K961" t="s">
        <v>33</v>
      </c>
      <c r="L961" t="s">
        <v>43</v>
      </c>
      <c r="M961" t="s">
        <v>44</v>
      </c>
      <c r="N961">
        <v>4.3</v>
      </c>
      <c r="O961">
        <v>5</v>
      </c>
    </row>
    <row r="962" spans="1:15" x14ac:dyDescent="0.3">
      <c r="A962" t="s">
        <v>1833</v>
      </c>
      <c r="B962" t="s">
        <v>128</v>
      </c>
      <c r="C962" t="s">
        <v>1834</v>
      </c>
      <c r="D962" t="s">
        <v>53</v>
      </c>
      <c r="E962" t="s">
        <v>86</v>
      </c>
      <c r="F962" t="s">
        <v>55</v>
      </c>
      <c r="G962" t="s">
        <v>5</v>
      </c>
      <c r="H962">
        <v>1.6</v>
      </c>
      <c r="I962">
        <v>6</v>
      </c>
      <c r="J962">
        <v>108</v>
      </c>
      <c r="K962" t="s">
        <v>102</v>
      </c>
      <c r="L962" t="s">
        <v>43</v>
      </c>
      <c r="M962" t="s">
        <v>44</v>
      </c>
      <c r="N962">
        <v>4.5</v>
      </c>
      <c r="O962">
        <v>4.9000000000000004</v>
      </c>
    </row>
    <row r="963" spans="1:15" x14ac:dyDescent="0.3">
      <c r="A963" t="s">
        <v>1835</v>
      </c>
      <c r="B963" t="s">
        <v>104</v>
      </c>
      <c r="C963" t="s">
        <v>1224</v>
      </c>
      <c r="D963" t="s">
        <v>39</v>
      </c>
      <c r="E963" t="s">
        <v>356</v>
      </c>
      <c r="F963" t="s">
        <v>278</v>
      </c>
      <c r="G963" t="s">
        <v>5</v>
      </c>
      <c r="H963">
        <v>14.2</v>
      </c>
      <c r="I963">
        <v>49</v>
      </c>
      <c r="J963">
        <v>383</v>
      </c>
      <c r="K963" t="s">
        <v>102</v>
      </c>
      <c r="L963" t="s">
        <v>43</v>
      </c>
      <c r="M963" t="s">
        <v>44</v>
      </c>
      <c r="N963">
        <v>4.8</v>
      </c>
      <c r="O963">
        <v>4.5999999999999996</v>
      </c>
    </row>
    <row r="964" spans="1:15" x14ac:dyDescent="0.3">
      <c r="A964" t="s">
        <v>1836</v>
      </c>
      <c r="B964" t="s">
        <v>46</v>
      </c>
      <c r="C964" t="s">
        <v>1837</v>
      </c>
      <c r="D964" t="s">
        <v>158</v>
      </c>
      <c r="E964" t="s">
        <v>262</v>
      </c>
      <c r="F964" t="s">
        <v>160</v>
      </c>
      <c r="G964" t="s">
        <v>6</v>
      </c>
      <c r="H964">
        <v>21.5</v>
      </c>
      <c r="I964">
        <v>49</v>
      </c>
      <c r="J964">
        <v>491</v>
      </c>
      <c r="K964" t="s">
        <v>33</v>
      </c>
      <c r="L964" t="s">
        <v>71</v>
      </c>
      <c r="M964" t="s">
        <v>44</v>
      </c>
      <c r="N964">
        <v>4.9000000000000004</v>
      </c>
      <c r="O964">
        <v>4.7</v>
      </c>
    </row>
    <row r="965" spans="1:15" x14ac:dyDescent="0.3">
      <c r="A965" t="s">
        <v>1838</v>
      </c>
      <c r="B965" t="s">
        <v>270</v>
      </c>
      <c r="C965" t="s">
        <v>1839</v>
      </c>
      <c r="D965" t="s">
        <v>61</v>
      </c>
      <c r="E965" t="s">
        <v>95</v>
      </c>
      <c r="F965" t="s">
        <v>96</v>
      </c>
      <c r="G965" t="s">
        <v>6</v>
      </c>
      <c r="H965">
        <v>10.1</v>
      </c>
      <c r="I965">
        <v>32</v>
      </c>
      <c r="J965">
        <v>293</v>
      </c>
      <c r="K965" t="s">
        <v>42</v>
      </c>
      <c r="L965" t="s">
        <v>43</v>
      </c>
      <c r="M965" t="s">
        <v>44</v>
      </c>
      <c r="N965">
        <v>4.5999999999999996</v>
      </c>
      <c r="O965">
        <v>5</v>
      </c>
    </row>
    <row r="966" spans="1:15" x14ac:dyDescent="0.3">
      <c r="A966" t="s">
        <v>1840</v>
      </c>
      <c r="B966" t="s">
        <v>629</v>
      </c>
      <c r="C966" t="s">
        <v>1841</v>
      </c>
      <c r="D966" t="s">
        <v>61</v>
      </c>
      <c r="E966" t="s">
        <v>95</v>
      </c>
      <c r="F966" t="s">
        <v>116</v>
      </c>
      <c r="G966" t="s">
        <v>6</v>
      </c>
      <c r="H966">
        <v>6.4</v>
      </c>
      <c r="I966">
        <v>16</v>
      </c>
      <c r="J966">
        <v>221</v>
      </c>
      <c r="K966" t="s">
        <v>56</v>
      </c>
      <c r="L966" t="s">
        <v>71</v>
      </c>
      <c r="M966" t="s">
        <v>44</v>
      </c>
      <c r="N966">
        <v>4.8</v>
      </c>
      <c r="O966">
        <v>4.9000000000000004</v>
      </c>
    </row>
    <row r="967" spans="1:15" x14ac:dyDescent="0.3">
      <c r="A967" t="s">
        <v>1842</v>
      </c>
      <c r="B967" t="s">
        <v>727</v>
      </c>
      <c r="C967" t="s">
        <v>1843</v>
      </c>
      <c r="D967" t="s">
        <v>81</v>
      </c>
      <c r="E967" t="s">
        <v>90</v>
      </c>
      <c r="F967" t="s">
        <v>91</v>
      </c>
      <c r="G967" t="s">
        <v>5</v>
      </c>
      <c r="H967">
        <v>1</v>
      </c>
      <c r="I967">
        <v>5</v>
      </c>
      <c r="J967">
        <v>84</v>
      </c>
      <c r="K967" t="s">
        <v>33</v>
      </c>
      <c r="L967" t="s">
        <v>34</v>
      </c>
      <c r="M967" t="s">
        <v>35</v>
      </c>
      <c r="N967">
        <v>4.8</v>
      </c>
      <c r="O967">
        <v>4.9000000000000004</v>
      </c>
    </row>
    <row r="968" spans="1:15" x14ac:dyDescent="0.3">
      <c r="A968" t="s">
        <v>1844</v>
      </c>
      <c r="B968" t="s">
        <v>403</v>
      </c>
      <c r="C968" t="s">
        <v>1845</v>
      </c>
      <c r="D968" t="s">
        <v>30</v>
      </c>
      <c r="E968" t="s">
        <v>179</v>
      </c>
      <c r="F968" t="s">
        <v>142</v>
      </c>
      <c r="G968" t="s">
        <v>6</v>
      </c>
      <c r="H968">
        <v>6</v>
      </c>
      <c r="I968">
        <v>24</v>
      </c>
      <c r="J968">
        <v>153</v>
      </c>
      <c r="K968" t="s">
        <v>42</v>
      </c>
      <c r="L968" t="s">
        <v>49</v>
      </c>
      <c r="M968" t="s">
        <v>44</v>
      </c>
      <c r="N968">
        <v>5</v>
      </c>
      <c r="O968">
        <v>4.5</v>
      </c>
    </row>
    <row r="969" spans="1:15" x14ac:dyDescent="0.3">
      <c r="A969" t="s">
        <v>1846</v>
      </c>
      <c r="B969" t="s">
        <v>531</v>
      </c>
      <c r="C969" t="s">
        <v>1784</v>
      </c>
      <c r="D969" t="s">
        <v>81</v>
      </c>
      <c r="E969" t="s">
        <v>201</v>
      </c>
      <c r="F969" t="s">
        <v>90</v>
      </c>
      <c r="G969" t="s">
        <v>2</v>
      </c>
      <c r="H969">
        <v>1.7</v>
      </c>
      <c r="I969">
        <v>5</v>
      </c>
      <c r="J969">
        <v>50</v>
      </c>
      <c r="K969" t="s">
        <v>42</v>
      </c>
      <c r="L969" t="s">
        <v>57</v>
      </c>
      <c r="M969" t="s">
        <v>35</v>
      </c>
      <c r="N969">
        <v>4.4000000000000004</v>
      </c>
      <c r="O969">
        <v>4.5</v>
      </c>
    </row>
    <row r="970" spans="1:15" x14ac:dyDescent="0.3">
      <c r="A970" t="s">
        <v>1847</v>
      </c>
      <c r="B970" t="s">
        <v>264</v>
      </c>
      <c r="C970" t="s">
        <v>1848</v>
      </c>
      <c r="D970" t="s">
        <v>61</v>
      </c>
      <c r="E970" t="s">
        <v>95</v>
      </c>
      <c r="F970" t="s">
        <v>328</v>
      </c>
      <c r="G970" t="s">
        <v>3</v>
      </c>
      <c r="H970">
        <v>7.3</v>
      </c>
      <c r="I970">
        <v>26</v>
      </c>
      <c r="J970">
        <v>418</v>
      </c>
      <c r="K970" t="s">
        <v>375</v>
      </c>
      <c r="L970" t="s">
        <v>49</v>
      </c>
      <c r="M970" t="s">
        <v>44</v>
      </c>
      <c r="N970">
        <v>4.5999999999999996</v>
      </c>
      <c r="O970">
        <v>5</v>
      </c>
    </row>
    <row r="971" spans="1:15" x14ac:dyDescent="0.3">
      <c r="A971" t="s">
        <v>1849</v>
      </c>
      <c r="B971" t="s">
        <v>197</v>
      </c>
      <c r="C971" t="s">
        <v>1850</v>
      </c>
      <c r="D971" t="s">
        <v>61</v>
      </c>
      <c r="E971" t="s">
        <v>62</v>
      </c>
      <c r="F971" t="s">
        <v>183</v>
      </c>
      <c r="G971" t="s">
        <v>3</v>
      </c>
      <c r="H971">
        <v>4.7</v>
      </c>
      <c r="I971">
        <v>6</v>
      </c>
      <c r="J971">
        <v>277</v>
      </c>
      <c r="K971" t="s">
        <v>375</v>
      </c>
      <c r="L971" t="s">
        <v>161</v>
      </c>
      <c r="M971" t="s">
        <v>35</v>
      </c>
      <c r="N971">
        <v>4.7</v>
      </c>
      <c r="O971">
        <v>4.7</v>
      </c>
    </row>
    <row r="972" spans="1:15" x14ac:dyDescent="0.3">
      <c r="A972" t="s">
        <v>1851</v>
      </c>
      <c r="B972" t="s">
        <v>225</v>
      </c>
      <c r="C972" t="s">
        <v>190</v>
      </c>
      <c r="D972" t="s">
        <v>158</v>
      </c>
      <c r="E972" t="s">
        <v>262</v>
      </c>
      <c r="F972" t="s">
        <v>334</v>
      </c>
      <c r="G972" t="s">
        <v>2</v>
      </c>
      <c r="H972">
        <v>8.3000000000000007</v>
      </c>
      <c r="I972">
        <v>21</v>
      </c>
      <c r="J972">
        <v>108</v>
      </c>
      <c r="K972" t="s">
        <v>56</v>
      </c>
      <c r="L972" t="s">
        <v>64</v>
      </c>
      <c r="M972" t="s">
        <v>44</v>
      </c>
      <c r="N972">
        <v>4.5999999999999996</v>
      </c>
      <c r="O972">
        <v>4.9000000000000004</v>
      </c>
    </row>
    <row r="973" spans="1:15" x14ac:dyDescent="0.3">
      <c r="A973" t="s">
        <v>1852</v>
      </c>
      <c r="B973" t="s">
        <v>152</v>
      </c>
      <c r="C973" t="s">
        <v>1853</v>
      </c>
      <c r="D973" t="s">
        <v>68</v>
      </c>
      <c r="E973" t="s">
        <v>172</v>
      </c>
      <c r="F973" t="s">
        <v>70</v>
      </c>
      <c r="G973" t="s">
        <v>6</v>
      </c>
      <c r="H973">
        <v>3.4</v>
      </c>
      <c r="I973">
        <v>10</v>
      </c>
      <c r="J973">
        <v>123</v>
      </c>
      <c r="K973" t="s">
        <v>375</v>
      </c>
      <c r="L973" t="s">
        <v>161</v>
      </c>
      <c r="M973" t="s">
        <v>35</v>
      </c>
      <c r="N973">
        <v>4.8</v>
      </c>
      <c r="O973">
        <v>4.7</v>
      </c>
    </row>
    <row r="974" spans="1:15" x14ac:dyDescent="0.3">
      <c r="A974" t="s">
        <v>1854</v>
      </c>
      <c r="B974" t="s">
        <v>148</v>
      </c>
      <c r="C974" t="s">
        <v>29</v>
      </c>
      <c r="D974" t="s">
        <v>61</v>
      </c>
      <c r="E974" t="s">
        <v>191</v>
      </c>
      <c r="F974" t="s">
        <v>95</v>
      </c>
      <c r="G974" t="s">
        <v>6</v>
      </c>
      <c r="H974">
        <v>6</v>
      </c>
      <c r="I974">
        <v>13</v>
      </c>
      <c r="J974">
        <v>152</v>
      </c>
      <c r="K974" t="s">
        <v>33</v>
      </c>
      <c r="L974" t="s">
        <v>34</v>
      </c>
      <c r="M974" t="s">
        <v>35</v>
      </c>
      <c r="N974">
        <v>5</v>
      </c>
      <c r="O974">
        <v>5</v>
      </c>
    </row>
    <row r="975" spans="1:15" x14ac:dyDescent="0.3">
      <c r="A975" t="s">
        <v>1855</v>
      </c>
      <c r="B975" t="s">
        <v>163</v>
      </c>
      <c r="C975" t="s">
        <v>1609</v>
      </c>
      <c r="D975" t="s">
        <v>68</v>
      </c>
      <c r="E975" t="s">
        <v>69</v>
      </c>
      <c r="F975" t="s">
        <v>130</v>
      </c>
      <c r="G975" t="s">
        <v>3</v>
      </c>
      <c r="H975">
        <v>13.3</v>
      </c>
      <c r="I975">
        <v>27</v>
      </c>
      <c r="J975">
        <v>582</v>
      </c>
      <c r="K975" t="s">
        <v>33</v>
      </c>
      <c r="L975" t="s">
        <v>78</v>
      </c>
      <c r="M975" t="s">
        <v>44</v>
      </c>
      <c r="N975">
        <v>4.5999999999999996</v>
      </c>
      <c r="O975">
        <v>4.7</v>
      </c>
    </row>
    <row r="976" spans="1:15" x14ac:dyDescent="0.3">
      <c r="A976" t="s">
        <v>1856</v>
      </c>
      <c r="B976" t="s">
        <v>128</v>
      </c>
      <c r="C976" t="s">
        <v>869</v>
      </c>
      <c r="D976" t="s">
        <v>30</v>
      </c>
      <c r="E976" t="s">
        <v>31</v>
      </c>
      <c r="F976" t="s">
        <v>138</v>
      </c>
      <c r="G976" t="s">
        <v>6</v>
      </c>
      <c r="H976">
        <v>8.8000000000000007</v>
      </c>
      <c r="I976">
        <v>36</v>
      </c>
      <c r="J976">
        <v>282</v>
      </c>
      <c r="K976" t="s">
        <v>33</v>
      </c>
      <c r="L976" t="s">
        <v>43</v>
      </c>
      <c r="M976" t="s">
        <v>44</v>
      </c>
      <c r="N976">
        <v>4.5</v>
      </c>
      <c r="O976">
        <v>5</v>
      </c>
    </row>
    <row r="977" spans="1:15" x14ac:dyDescent="0.3">
      <c r="A977" t="s">
        <v>1857</v>
      </c>
      <c r="B977" t="s">
        <v>177</v>
      </c>
      <c r="C977" t="s">
        <v>1858</v>
      </c>
      <c r="D977" t="s">
        <v>81</v>
      </c>
      <c r="E977" t="s">
        <v>91</v>
      </c>
      <c r="F977" t="s">
        <v>82</v>
      </c>
      <c r="G977" t="s">
        <v>6</v>
      </c>
      <c r="H977">
        <v>2.9</v>
      </c>
      <c r="I977">
        <v>10</v>
      </c>
      <c r="J977">
        <v>92</v>
      </c>
      <c r="K977" t="s">
        <v>33</v>
      </c>
      <c r="L977" t="s">
        <v>34</v>
      </c>
      <c r="M977" t="s">
        <v>35</v>
      </c>
      <c r="N977">
        <v>4.9000000000000004</v>
      </c>
      <c r="O977">
        <v>4.7</v>
      </c>
    </row>
    <row r="978" spans="1:15" x14ac:dyDescent="0.3">
      <c r="A978" t="s">
        <v>1859</v>
      </c>
      <c r="B978" t="s">
        <v>189</v>
      </c>
      <c r="C978" t="s">
        <v>1860</v>
      </c>
      <c r="D978" t="s">
        <v>39</v>
      </c>
      <c r="E978" t="s">
        <v>154</v>
      </c>
      <c r="F978" t="s">
        <v>356</v>
      </c>
      <c r="G978" t="s">
        <v>6</v>
      </c>
      <c r="H978">
        <v>17.7</v>
      </c>
      <c r="I978">
        <v>50</v>
      </c>
      <c r="J978">
        <v>367</v>
      </c>
      <c r="K978" t="s">
        <v>192</v>
      </c>
      <c r="L978" t="s">
        <v>34</v>
      </c>
      <c r="M978" t="s">
        <v>35</v>
      </c>
      <c r="N978">
        <v>4.5999999999999996</v>
      </c>
      <c r="O978">
        <v>4.8</v>
      </c>
    </row>
    <row r="979" spans="1:15" x14ac:dyDescent="0.3">
      <c r="A979" t="s">
        <v>1861</v>
      </c>
      <c r="B979" t="s">
        <v>458</v>
      </c>
      <c r="C979" t="s">
        <v>1254</v>
      </c>
      <c r="D979" t="s">
        <v>106</v>
      </c>
      <c r="E979" t="s">
        <v>107</v>
      </c>
      <c r="F979" t="s">
        <v>443</v>
      </c>
      <c r="G979" t="s">
        <v>7</v>
      </c>
      <c r="H979">
        <v>2</v>
      </c>
      <c r="I979">
        <v>5</v>
      </c>
      <c r="J979">
        <v>151</v>
      </c>
      <c r="K979" t="s">
        <v>33</v>
      </c>
      <c r="L979" t="s">
        <v>71</v>
      </c>
      <c r="M979" t="s">
        <v>44</v>
      </c>
      <c r="N979">
        <v>4.4000000000000004</v>
      </c>
      <c r="O979">
        <v>4.9000000000000004</v>
      </c>
    </row>
    <row r="980" spans="1:15" x14ac:dyDescent="0.3">
      <c r="A980" t="s">
        <v>1862</v>
      </c>
      <c r="B980" t="s">
        <v>88</v>
      </c>
      <c r="C980" t="s">
        <v>492</v>
      </c>
      <c r="D980" t="s">
        <v>30</v>
      </c>
      <c r="E980" t="s">
        <v>100</v>
      </c>
      <c r="F980" t="s">
        <v>179</v>
      </c>
      <c r="G980" t="s">
        <v>4</v>
      </c>
      <c r="H980">
        <v>2.2000000000000002</v>
      </c>
      <c r="I980">
        <v>8</v>
      </c>
      <c r="J980">
        <v>118</v>
      </c>
      <c r="K980" t="s">
        <v>33</v>
      </c>
      <c r="L980" t="s">
        <v>34</v>
      </c>
      <c r="M980" t="s">
        <v>35</v>
      </c>
      <c r="N980">
        <v>4.2</v>
      </c>
      <c r="O980">
        <v>4.7</v>
      </c>
    </row>
    <row r="981" spans="1:15" x14ac:dyDescent="0.3">
      <c r="A981" t="s">
        <v>1863</v>
      </c>
      <c r="B981" t="s">
        <v>128</v>
      </c>
      <c r="C981" t="s">
        <v>1864</v>
      </c>
      <c r="D981" t="s">
        <v>158</v>
      </c>
      <c r="E981" t="s">
        <v>283</v>
      </c>
      <c r="F981" t="s">
        <v>262</v>
      </c>
      <c r="G981" t="s">
        <v>7</v>
      </c>
      <c r="H981">
        <v>2.9</v>
      </c>
      <c r="I981">
        <v>9</v>
      </c>
      <c r="J981">
        <v>110</v>
      </c>
      <c r="K981" t="s">
        <v>102</v>
      </c>
      <c r="L981" t="s">
        <v>78</v>
      </c>
      <c r="M981" t="s">
        <v>44</v>
      </c>
      <c r="N981">
        <v>5</v>
      </c>
      <c r="O981">
        <v>4.5</v>
      </c>
    </row>
    <row r="982" spans="1:15" x14ac:dyDescent="0.3">
      <c r="A982" t="s">
        <v>1865</v>
      </c>
      <c r="B982" t="s">
        <v>441</v>
      </c>
      <c r="C982" t="s">
        <v>633</v>
      </c>
      <c r="D982" t="s">
        <v>30</v>
      </c>
      <c r="E982" t="s">
        <v>100</v>
      </c>
      <c r="F982" t="s">
        <v>138</v>
      </c>
      <c r="G982" t="s">
        <v>5</v>
      </c>
      <c r="H982">
        <v>9.8000000000000007</v>
      </c>
      <c r="I982">
        <v>34</v>
      </c>
      <c r="J982">
        <v>254</v>
      </c>
      <c r="K982" t="s">
        <v>102</v>
      </c>
      <c r="L982" t="s">
        <v>49</v>
      </c>
      <c r="M982" t="s">
        <v>44</v>
      </c>
      <c r="N982">
        <v>4.4000000000000004</v>
      </c>
      <c r="O982">
        <v>4.5999999999999996</v>
      </c>
    </row>
    <row r="983" spans="1:15" x14ac:dyDescent="0.3">
      <c r="A983" t="s">
        <v>1866</v>
      </c>
      <c r="B983" t="s">
        <v>128</v>
      </c>
      <c r="C983" t="s">
        <v>1867</v>
      </c>
      <c r="D983" t="s">
        <v>39</v>
      </c>
      <c r="E983" t="s">
        <v>40</v>
      </c>
      <c r="F983" t="s">
        <v>356</v>
      </c>
      <c r="G983" t="s">
        <v>6</v>
      </c>
      <c r="H983">
        <v>10.1</v>
      </c>
      <c r="I983">
        <v>22</v>
      </c>
      <c r="J983">
        <v>195</v>
      </c>
      <c r="K983" t="s">
        <v>102</v>
      </c>
      <c r="L983" t="s">
        <v>78</v>
      </c>
      <c r="M983" t="s">
        <v>44</v>
      </c>
      <c r="N983">
        <v>4.7</v>
      </c>
      <c r="O983">
        <v>4.8</v>
      </c>
    </row>
    <row r="984" spans="1:15" x14ac:dyDescent="0.3">
      <c r="A984" t="s">
        <v>1868</v>
      </c>
      <c r="B984" t="s">
        <v>59</v>
      </c>
      <c r="C984" t="s">
        <v>1869</v>
      </c>
      <c r="D984" t="s">
        <v>158</v>
      </c>
      <c r="E984" t="s">
        <v>283</v>
      </c>
      <c r="F984" t="s">
        <v>284</v>
      </c>
      <c r="G984" t="s">
        <v>6</v>
      </c>
      <c r="H984">
        <v>2.2000000000000002</v>
      </c>
      <c r="I984">
        <v>6</v>
      </c>
      <c r="J984">
        <v>131</v>
      </c>
      <c r="K984" t="s">
        <v>33</v>
      </c>
      <c r="L984" t="s">
        <v>71</v>
      </c>
      <c r="M984" t="s">
        <v>44</v>
      </c>
      <c r="N984">
        <v>4.9000000000000004</v>
      </c>
      <c r="O984">
        <v>4.5999999999999996</v>
      </c>
    </row>
    <row r="985" spans="1:15" x14ac:dyDescent="0.3">
      <c r="A985" t="s">
        <v>1870</v>
      </c>
      <c r="B985" t="s">
        <v>73</v>
      </c>
      <c r="C985" t="s">
        <v>1871</v>
      </c>
      <c r="D985" t="s">
        <v>61</v>
      </c>
      <c r="E985" t="s">
        <v>96</v>
      </c>
      <c r="F985" t="s">
        <v>95</v>
      </c>
      <c r="G985" t="s">
        <v>2</v>
      </c>
      <c r="H985">
        <v>4.5</v>
      </c>
      <c r="I985">
        <v>5</v>
      </c>
      <c r="J985">
        <v>101</v>
      </c>
      <c r="K985" t="s">
        <v>42</v>
      </c>
      <c r="L985" t="s">
        <v>43</v>
      </c>
      <c r="M985" t="s">
        <v>44</v>
      </c>
      <c r="N985">
        <v>4.5999999999999996</v>
      </c>
      <c r="O985">
        <v>4.9000000000000004</v>
      </c>
    </row>
    <row r="986" spans="1:15" x14ac:dyDescent="0.3">
      <c r="A986" t="s">
        <v>1872</v>
      </c>
      <c r="B986" t="s">
        <v>122</v>
      </c>
      <c r="C986" t="s">
        <v>1873</v>
      </c>
      <c r="D986" t="s">
        <v>158</v>
      </c>
      <c r="E986" t="s">
        <v>284</v>
      </c>
      <c r="F986" t="s">
        <v>262</v>
      </c>
      <c r="G986" t="s">
        <v>6</v>
      </c>
      <c r="H986">
        <v>3.1</v>
      </c>
      <c r="I986">
        <v>11</v>
      </c>
      <c r="J986">
        <v>110</v>
      </c>
      <c r="K986" t="s">
        <v>33</v>
      </c>
      <c r="L986" t="s">
        <v>49</v>
      </c>
      <c r="M986" t="s">
        <v>44</v>
      </c>
      <c r="N986">
        <v>4.7</v>
      </c>
      <c r="O986">
        <v>4.7</v>
      </c>
    </row>
    <row r="987" spans="1:15" x14ac:dyDescent="0.3">
      <c r="A987" t="s">
        <v>1874</v>
      </c>
      <c r="B987" t="s">
        <v>144</v>
      </c>
      <c r="C987" t="s">
        <v>611</v>
      </c>
      <c r="D987" t="s">
        <v>81</v>
      </c>
      <c r="E987" t="s">
        <v>90</v>
      </c>
      <c r="F987" t="s">
        <v>83</v>
      </c>
      <c r="G987" t="s">
        <v>3</v>
      </c>
      <c r="H987">
        <v>1</v>
      </c>
      <c r="I987">
        <v>6</v>
      </c>
      <c r="J987">
        <v>188</v>
      </c>
      <c r="K987" t="s">
        <v>102</v>
      </c>
      <c r="L987" t="s">
        <v>49</v>
      </c>
      <c r="M987" t="s">
        <v>44</v>
      </c>
      <c r="N987">
        <v>4.8</v>
      </c>
      <c r="O987">
        <v>5</v>
      </c>
    </row>
    <row r="988" spans="1:15" x14ac:dyDescent="0.3">
      <c r="A988" t="s">
        <v>1875</v>
      </c>
      <c r="B988" t="s">
        <v>73</v>
      </c>
      <c r="C988" t="s">
        <v>216</v>
      </c>
      <c r="D988" t="s">
        <v>75</v>
      </c>
      <c r="E988" t="s">
        <v>313</v>
      </c>
      <c r="F988" t="s">
        <v>578</v>
      </c>
      <c r="G988" t="s">
        <v>3</v>
      </c>
      <c r="H988">
        <v>6.6</v>
      </c>
      <c r="I988">
        <v>21</v>
      </c>
      <c r="J988">
        <v>333</v>
      </c>
      <c r="K988" t="s">
        <v>33</v>
      </c>
      <c r="L988" t="s">
        <v>64</v>
      </c>
      <c r="M988" t="s">
        <v>44</v>
      </c>
      <c r="N988">
        <v>4.9000000000000004</v>
      </c>
      <c r="O988">
        <v>4.9000000000000004</v>
      </c>
    </row>
    <row r="989" spans="1:15" x14ac:dyDescent="0.3">
      <c r="A989" t="s">
        <v>1876</v>
      </c>
      <c r="B989" t="s">
        <v>246</v>
      </c>
      <c r="C989" t="s">
        <v>1877</v>
      </c>
      <c r="D989" t="s">
        <v>53</v>
      </c>
      <c r="E989" t="s">
        <v>515</v>
      </c>
      <c r="F989" t="s">
        <v>236</v>
      </c>
      <c r="G989" t="s">
        <v>4</v>
      </c>
      <c r="H989">
        <v>5.9</v>
      </c>
      <c r="I989">
        <v>20</v>
      </c>
      <c r="J989">
        <v>230</v>
      </c>
      <c r="K989" t="s">
        <v>42</v>
      </c>
      <c r="L989" t="s">
        <v>34</v>
      </c>
      <c r="M989" t="s">
        <v>35</v>
      </c>
      <c r="N989">
        <v>4.5999999999999996</v>
      </c>
      <c r="O989">
        <v>4.8</v>
      </c>
    </row>
    <row r="990" spans="1:15" x14ac:dyDescent="0.3">
      <c r="A990" t="s">
        <v>1878</v>
      </c>
      <c r="B990" t="s">
        <v>303</v>
      </c>
      <c r="C990" t="s">
        <v>675</v>
      </c>
      <c r="D990" t="s">
        <v>61</v>
      </c>
      <c r="E990" t="s">
        <v>96</v>
      </c>
      <c r="F990" t="s">
        <v>63</v>
      </c>
      <c r="G990" t="s">
        <v>5</v>
      </c>
      <c r="H990">
        <v>4.0999999999999996</v>
      </c>
      <c r="I990">
        <v>9</v>
      </c>
      <c r="J990">
        <v>129</v>
      </c>
      <c r="K990" t="s">
        <v>102</v>
      </c>
      <c r="L990" t="s">
        <v>78</v>
      </c>
      <c r="M990" t="s">
        <v>44</v>
      </c>
      <c r="N990">
        <v>5</v>
      </c>
      <c r="O990">
        <v>5</v>
      </c>
    </row>
    <row r="991" spans="1:15" x14ac:dyDescent="0.3">
      <c r="A991" t="s">
        <v>1879</v>
      </c>
      <c r="B991" t="s">
        <v>689</v>
      </c>
      <c r="C991" t="s">
        <v>60</v>
      </c>
      <c r="D991" t="s">
        <v>30</v>
      </c>
      <c r="E991" t="s">
        <v>101</v>
      </c>
      <c r="F991" t="s">
        <v>32</v>
      </c>
      <c r="G991" t="s">
        <v>7</v>
      </c>
      <c r="H991">
        <v>19.100000000000001</v>
      </c>
      <c r="I991">
        <v>63</v>
      </c>
      <c r="J991">
        <v>537</v>
      </c>
      <c r="K991" t="s">
        <v>33</v>
      </c>
      <c r="L991" t="s">
        <v>64</v>
      </c>
      <c r="M991" t="s">
        <v>44</v>
      </c>
      <c r="N991">
        <v>4.5</v>
      </c>
      <c r="O991">
        <v>4.7</v>
      </c>
    </row>
    <row r="992" spans="1:15" x14ac:dyDescent="0.3">
      <c r="A992" t="s">
        <v>1880</v>
      </c>
      <c r="B992" t="s">
        <v>98</v>
      </c>
      <c r="C992" t="s">
        <v>687</v>
      </c>
      <c r="D992" t="s">
        <v>39</v>
      </c>
      <c r="E992" t="s">
        <v>356</v>
      </c>
      <c r="F992" t="s">
        <v>154</v>
      </c>
      <c r="G992" t="s">
        <v>6</v>
      </c>
      <c r="H992">
        <v>3.7</v>
      </c>
      <c r="I992">
        <v>14</v>
      </c>
      <c r="J992">
        <v>133</v>
      </c>
      <c r="K992" t="s">
        <v>33</v>
      </c>
      <c r="L992" t="s">
        <v>71</v>
      </c>
      <c r="M992" t="s">
        <v>44</v>
      </c>
      <c r="N992">
        <v>4.7</v>
      </c>
      <c r="O992">
        <v>4.8</v>
      </c>
    </row>
    <row r="993" spans="1:15" x14ac:dyDescent="0.3">
      <c r="A993" t="s">
        <v>1881</v>
      </c>
      <c r="B993" t="s">
        <v>249</v>
      </c>
      <c r="C993" t="s">
        <v>942</v>
      </c>
      <c r="D993" t="s">
        <v>39</v>
      </c>
      <c r="E993" t="s">
        <v>40</v>
      </c>
      <c r="F993" t="s">
        <v>484</v>
      </c>
      <c r="G993" t="s">
        <v>4</v>
      </c>
      <c r="H993">
        <v>8.6999999999999993</v>
      </c>
      <c r="I993">
        <v>19</v>
      </c>
      <c r="J993">
        <v>298</v>
      </c>
      <c r="K993" t="s">
        <v>42</v>
      </c>
      <c r="L993" t="s">
        <v>78</v>
      </c>
      <c r="M993" t="s">
        <v>44</v>
      </c>
      <c r="N993">
        <v>4.9000000000000004</v>
      </c>
      <c r="O993">
        <v>4.9000000000000004</v>
      </c>
    </row>
    <row r="994" spans="1:15" x14ac:dyDescent="0.3">
      <c r="A994" t="s">
        <v>1882</v>
      </c>
      <c r="B994" t="s">
        <v>468</v>
      </c>
      <c r="C994" t="s">
        <v>338</v>
      </c>
      <c r="D994" t="s">
        <v>53</v>
      </c>
      <c r="E994" t="s">
        <v>221</v>
      </c>
      <c r="F994" t="s">
        <v>405</v>
      </c>
      <c r="G994" t="s">
        <v>6</v>
      </c>
      <c r="H994">
        <v>6.9</v>
      </c>
      <c r="I994">
        <v>16</v>
      </c>
      <c r="J994">
        <v>223</v>
      </c>
      <c r="K994" t="s">
        <v>33</v>
      </c>
      <c r="L994" t="s">
        <v>43</v>
      </c>
      <c r="M994" t="s">
        <v>44</v>
      </c>
      <c r="N994">
        <v>4.5</v>
      </c>
      <c r="O994">
        <v>5</v>
      </c>
    </row>
    <row r="995" spans="1:15" x14ac:dyDescent="0.3">
      <c r="A995" t="s">
        <v>1883</v>
      </c>
      <c r="B995" t="s">
        <v>170</v>
      </c>
      <c r="C995" t="s">
        <v>1184</v>
      </c>
      <c r="D995" t="s">
        <v>81</v>
      </c>
      <c r="E995" t="s">
        <v>201</v>
      </c>
      <c r="F995" t="s">
        <v>90</v>
      </c>
      <c r="G995" t="s">
        <v>6</v>
      </c>
      <c r="H995">
        <v>8.5</v>
      </c>
      <c r="I995">
        <v>26</v>
      </c>
      <c r="J995">
        <v>263</v>
      </c>
      <c r="K995" t="s">
        <v>33</v>
      </c>
      <c r="L995" t="s">
        <v>64</v>
      </c>
      <c r="M995" t="s">
        <v>44</v>
      </c>
      <c r="N995">
        <v>4.9000000000000004</v>
      </c>
      <c r="O995">
        <v>4.7</v>
      </c>
    </row>
    <row r="996" spans="1:15" x14ac:dyDescent="0.3">
      <c r="A996" t="s">
        <v>1884</v>
      </c>
      <c r="B996" t="s">
        <v>254</v>
      </c>
      <c r="C996" t="s">
        <v>539</v>
      </c>
      <c r="D996" t="s">
        <v>106</v>
      </c>
      <c r="E996" t="s">
        <v>443</v>
      </c>
      <c r="F996" t="s">
        <v>472</v>
      </c>
      <c r="G996" t="s">
        <v>2</v>
      </c>
      <c r="H996">
        <v>1</v>
      </c>
      <c r="I996">
        <v>5</v>
      </c>
      <c r="J996">
        <v>63</v>
      </c>
      <c r="K996" t="s">
        <v>33</v>
      </c>
      <c r="L996" t="s">
        <v>49</v>
      </c>
      <c r="M996" t="s">
        <v>44</v>
      </c>
      <c r="N996">
        <v>4.9000000000000004</v>
      </c>
      <c r="O996">
        <v>4.4000000000000004</v>
      </c>
    </row>
    <row r="997" spans="1:15" x14ac:dyDescent="0.3">
      <c r="A997" t="s">
        <v>1885</v>
      </c>
      <c r="B997" t="s">
        <v>118</v>
      </c>
      <c r="C997" t="s">
        <v>1886</v>
      </c>
      <c r="D997" t="s">
        <v>106</v>
      </c>
      <c r="E997" t="s">
        <v>472</v>
      </c>
      <c r="F997" t="s">
        <v>108</v>
      </c>
      <c r="G997" t="s">
        <v>6</v>
      </c>
      <c r="H997">
        <v>2.8</v>
      </c>
      <c r="I997">
        <v>5</v>
      </c>
      <c r="J997">
        <v>106</v>
      </c>
      <c r="K997" t="s">
        <v>42</v>
      </c>
      <c r="L997" t="s">
        <v>57</v>
      </c>
      <c r="M997" t="s">
        <v>35</v>
      </c>
      <c r="N997">
        <v>4.7</v>
      </c>
      <c r="O997">
        <v>5</v>
      </c>
    </row>
    <row r="998" spans="1:15" x14ac:dyDescent="0.3">
      <c r="A998" t="s">
        <v>1887</v>
      </c>
      <c r="B998" t="s">
        <v>208</v>
      </c>
      <c r="C998" t="s">
        <v>956</v>
      </c>
      <c r="D998" t="s">
        <v>30</v>
      </c>
      <c r="E998" t="s">
        <v>142</v>
      </c>
      <c r="F998" t="s">
        <v>179</v>
      </c>
      <c r="G998" t="s">
        <v>6</v>
      </c>
      <c r="H998">
        <v>4.3</v>
      </c>
      <c r="I998">
        <v>23</v>
      </c>
      <c r="J998">
        <v>116</v>
      </c>
      <c r="K998" t="s">
        <v>33</v>
      </c>
      <c r="L998" t="s">
        <v>43</v>
      </c>
      <c r="M998" t="s">
        <v>44</v>
      </c>
      <c r="N998">
        <v>5</v>
      </c>
      <c r="O998">
        <v>4.3</v>
      </c>
    </row>
    <row r="999" spans="1:15" x14ac:dyDescent="0.3">
      <c r="A999" t="s">
        <v>1888</v>
      </c>
      <c r="B999" t="s">
        <v>853</v>
      </c>
      <c r="C999" t="s">
        <v>1889</v>
      </c>
      <c r="D999" t="s">
        <v>53</v>
      </c>
      <c r="E999" t="s">
        <v>221</v>
      </c>
      <c r="F999" t="s">
        <v>236</v>
      </c>
      <c r="G999" t="s">
        <v>5</v>
      </c>
      <c r="H999">
        <v>9.9</v>
      </c>
      <c r="I999">
        <v>28</v>
      </c>
      <c r="J999">
        <v>261</v>
      </c>
      <c r="K999" t="s">
        <v>33</v>
      </c>
      <c r="L999" t="s">
        <v>49</v>
      </c>
      <c r="M999" t="s">
        <v>44</v>
      </c>
      <c r="N999">
        <v>4.9000000000000004</v>
      </c>
      <c r="O999">
        <v>4.7</v>
      </c>
    </row>
    <row r="1000" spans="1:15" x14ac:dyDescent="0.3">
      <c r="A1000" t="s">
        <v>1890</v>
      </c>
      <c r="B1000" t="s">
        <v>66</v>
      </c>
      <c r="C1000" t="s">
        <v>630</v>
      </c>
      <c r="D1000" t="s">
        <v>30</v>
      </c>
      <c r="E1000" t="s">
        <v>138</v>
      </c>
      <c r="F1000" t="s">
        <v>179</v>
      </c>
      <c r="G1000" t="s">
        <v>7</v>
      </c>
      <c r="H1000">
        <v>1.8</v>
      </c>
      <c r="I1000">
        <v>7</v>
      </c>
      <c r="J1000">
        <v>169</v>
      </c>
      <c r="K1000" t="s">
        <v>102</v>
      </c>
      <c r="L1000" t="s">
        <v>43</v>
      </c>
      <c r="M1000" t="s">
        <v>44</v>
      </c>
      <c r="N1000">
        <v>4.5</v>
      </c>
      <c r="O1000">
        <v>5</v>
      </c>
    </row>
    <row r="1001" spans="1:15" x14ac:dyDescent="0.3">
      <c r="A1001" t="s">
        <v>1891</v>
      </c>
      <c r="B1001" t="s">
        <v>59</v>
      </c>
      <c r="C1001" t="s">
        <v>1892</v>
      </c>
      <c r="D1001" t="s">
        <v>68</v>
      </c>
      <c r="E1001" t="s">
        <v>150</v>
      </c>
      <c r="F1001" t="s">
        <v>120</v>
      </c>
      <c r="G1001" t="s">
        <v>7</v>
      </c>
      <c r="H1001">
        <v>5.6</v>
      </c>
      <c r="I1001">
        <v>14</v>
      </c>
      <c r="J1001">
        <v>174</v>
      </c>
      <c r="K1001" t="s">
        <v>102</v>
      </c>
      <c r="L1001" t="s">
        <v>34</v>
      </c>
      <c r="M1001" t="s">
        <v>35</v>
      </c>
      <c r="N1001">
        <v>4.5999999999999996</v>
      </c>
      <c r="O1001">
        <v>4.5999999999999996</v>
      </c>
    </row>
    <row r="1002" spans="1:15" x14ac:dyDescent="0.3">
      <c r="A1002" t="s">
        <v>1893</v>
      </c>
      <c r="B1002" t="s">
        <v>37</v>
      </c>
      <c r="C1002" t="s">
        <v>1894</v>
      </c>
      <c r="D1002" t="s">
        <v>39</v>
      </c>
      <c r="E1002" t="s">
        <v>41</v>
      </c>
      <c r="F1002" t="s">
        <v>155</v>
      </c>
      <c r="G1002" t="s">
        <v>6</v>
      </c>
      <c r="H1002">
        <v>8.6999999999999993</v>
      </c>
      <c r="I1002">
        <v>19</v>
      </c>
      <c r="J1002">
        <v>202</v>
      </c>
      <c r="K1002" t="s">
        <v>102</v>
      </c>
      <c r="L1002" t="s">
        <v>64</v>
      </c>
      <c r="M1002" t="s">
        <v>44</v>
      </c>
      <c r="N1002">
        <v>4.4000000000000004</v>
      </c>
      <c r="O1002">
        <v>5</v>
      </c>
    </row>
    <row r="1003" spans="1:15" x14ac:dyDescent="0.3">
      <c r="A1003" t="s">
        <v>1895</v>
      </c>
      <c r="B1003" t="s">
        <v>163</v>
      </c>
      <c r="C1003" t="s">
        <v>1896</v>
      </c>
      <c r="D1003" t="s">
        <v>39</v>
      </c>
      <c r="E1003" t="s">
        <v>484</v>
      </c>
      <c r="F1003" t="s">
        <v>40</v>
      </c>
      <c r="G1003" t="s">
        <v>7</v>
      </c>
      <c r="H1003">
        <v>6</v>
      </c>
      <c r="I1003">
        <v>22</v>
      </c>
      <c r="J1003">
        <v>227</v>
      </c>
      <c r="K1003" t="s">
        <v>56</v>
      </c>
      <c r="L1003" t="s">
        <v>43</v>
      </c>
      <c r="M1003" t="s">
        <v>44</v>
      </c>
      <c r="N1003">
        <v>4.9000000000000004</v>
      </c>
      <c r="O1003">
        <v>4.9000000000000004</v>
      </c>
    </row>
    <row r="1004" spans="1:15" x14ac:dyDescent="0.3">
      <c r="A1004" t="s">
        <v>1897</v>
      </c>
      <c r="B1004" t="s">
        <v>523</v>
      </c>
      <c r="C1004" t="s">
        <v>1254</v>
      </c>
      <c r="D1004" t="s">
        <v>39</v>
      </c>
      <c r="E1004" t="s">
        <v>41</v>
      </c>
      <c r="F1004" t="s">
        <v>48</v>
      </c>
      <c r="G1004" t="s">
        <v>4</v>
      </c>
      <c r="H1004">
        <v>9.1999999999999993</v>
      </c>
      <c r="I1004">
        <v>30</v>
      </c>
      <c r="J1004">
        <v>355</v>
      </c>
      <c r="K1004" t="s">
        <v>56</v>
      </c>
      <c r="L1004" t="s">
        <v>71</v>
      </c>
      <c r="M1004" t="s">
        <v>44</v>
      </c>
      <c r="N1004">
        <v>4.5</v>
      </c>
      <c r="O1004">
        <v>4.7</v>
      </c>
    </row>
    <row r="1005" spans="1:15" x14ac:dyDescent="0.3">
      <c r="A1005" t="s">
        <v>1898</v>
      </c>
      <c r="B1005" t="s">
        <v>246</v>
      </c>
      <c r="C1005" t="s">
        <v>1899</v>
      </c>
      <c r="D1005" t="s">
        <v>30</v>
      </c>
      <c r="E1005" t="s">
        <v>142</v>
      </c>
      <c r="F1005" t="s">
        <v>100</v>
      </c>
      <c r="G1005" t="s">
        <v>6</v>
      </c>
      <c r="H1005">
        <v>6.1</v>
      </c>
      <c r="I1005">
        <v>20</v>
      </c>
      <c r="J1005">
        <v>166</v>
      </c>
      <c r="K1005" t="s">
        <v>33</v>
      </c>
      <c r="L1005" t="s">
        <v>49</v>
      </c>
      <c r="M1005" t="s">
        <v>44</v>
      </c>
      <c r="N1005">
        <v>4.5</v>
      </c>
      <c r="O1005">
        <v>4.8</v>
      </c>
    </row>
    <row r="1006" spans="1:15" x14ac:dyDescent="0.3">
      <c r="A1006" t="s">
        <v>1900</v>
      </c>
      <c r="B1006" t="s">
        <v>104</v>
      </c>
      <c r="C1006" t="s">
        <v>1209</v>
      </c>
      <c r="D1006" t="s">
        <v>75</v>
      </c>
      <c r="E1006" t="s">
        <v>76</v>
      </c>
      <c r="F1006" t="s">
        <v>77</v>
      </c>
      <c r="G1006" t="s">
        <v>7</v>
      </c>
      <c r="H1006">
        <v>8</v>
      </c>
      <c r="I1006">
        <v>27</v>
      </c>
      <c r="J1006">
        <v>284</v>
      </c>
      <c r="K1006" t="s">
        <v>42</v>
      </c>
      <c r="L1006" t="s">
        <v>43</v>
      </c>
      <c r="M1006" t="s">
        <v>44</v>
      </c>
      <c r="N1006">
        <v>4.5999999999999996</v>
      </c>
      <c r="O1006">
        <v>4.5999999999999996</v>
      </c>
    </row>
    <row r="1007" spans="1:15" x14ac:dyDescent="0.3">
      <c r="A1007" t="s">
        <v>1901</v>
      </c>
      <c r="B1007" t="s">
        <v>373</v>
      </c>
      <c r="C1007" t="s">
        <v>1902</v>
      </c>
      <c r="D1007" t="s">
        <v>61</v>
      </c>
      <c r="E1007" t="s">
        <v>328</v>
      </c>
      <c r="F1007" t="s">
        <v>183</v>
      </c>
      <c r="G1007" t="s">
        <v>5</v>
      </c>
      <c r="H1007">
        <v>4.5</v>
      </c>
      <c r="I1007">
        <v>7</v>
      </c>
      <c r="J1007">
        <v>166</v>
      </c>
      <c r="K1007" t="s">
        <v>33</v>
      </c>
      <c r="L1007" t="s">
        <v>64</v>
      </c>
      <c r="M1007" t="s">
        <v>44</v>
      </c>
      <c r="N1007">
        <v>4.7</v>
      </c>
      <c r="O1007">
        <v>4.7</v>
      </c>
    </row>
    <row r="1008" spans="1:15" x14ac:dyDescent="0.3">
      <c r="A1008" t="s">
        <v>1903</v>
      </c>
      <c r="B1008" t="s">
        <v>148</v>
      </c>
      <c r="C1008" t="s">
        <v>1079</v>
      </c>
      <c r="D1008" t="s">
        <v>81</v>
      </c>
      <c r="E1008" t="s">
        <v>91</v>
      </c>
      <c r="F1008" t="s">
        <v>82</v>
      </c>
      <c r="G1008" t="s">
        <v>6</v>
      </c>
      <c r="H1008">
        <v>1.6</v>
      </c>
      <c r="I1008">
        <v>8</v>
      </c>
      <c r="J1008">
        <v>91</v>
      </c>
      <c r="K1008" t="s">
        <v>33</v>
      </c>
      <c r="L1008" t="s">
        <v>43</v>
      </c>
      <c r="M1008" t="s">
        <v>44</v>
      </c>
      <c r="N1008">
        <v>4.8</v>
      </c>
      <c r="O1008">
        <v>5</v>
      </c>
    </row>
    <row r="1009" spans="1:15" x14ac:dyDescent="0.3">
      <c r="A1009" t="s">
        <v>1904</v>
      </c>
      <c r="B1009" t="s">
        <v>476</v>
      </c>
      <c r="C1009" t="s">
        <v>1905</v>
      </c>
      <c r="D1009" t="s">
        <v>106</v>
      </c>
      <c r="E1009" t="s">
        <v>126</v>
      </c>
      <c r="F1009" t="s">
        <v>443</v>
      </c>
      <c r="G1009" t="s">
        <v>4</v>
      </c>
      <c r="H1009">
        <v>6.6</v>
      </c>
      <c r="I1009">
        <v>18</v>
      </c>
      <c r="J1009">
        <v>231</v>
      </c>
      <c r="K1009" t="s">
        <v>42</v>
      </c>
      <c r="L1009" t="s">
        <v>64</v>
      </c>
      <c r="M1009" t="s">
        <v>44</v>
      </c>
      <c r="N1009">
        <v>4.8</v>
      </c>
      <c r="O1009">
        <v>4.7</v>
      </c>
    </row>
    <row r="1010" spans="1:15" x14ac:dyDescent="0.3">
      <c r="A1010" t="s">
        <v>1906</v>
      </c>
      <c r="B1010" t="s">
        <v>181</v>
      </c>
      <c r="C1010" t="s">
        <v>1668</v>
      </c>
      <c r="D1010" t="s">
        <v>30</v>
      </c>
      <c r="E1010" t="s">
        <v>112</v>
      </c>
      <c r="F1010" t="s">
        <v>100</v>
      </c>
      <c r="G1010" t="s">
        <v>2</v>
      </c>
      <c r="H1010">
        <v>1</v>
      </c>
      <c r="I1010">
        <v>8</v>
      </c>
      <c r="J1010">
        <v>35</v>
      </c>
      <c r="K1010" t="s">
        <v>42</v>
      </c>
      <c r="L1010" t="s">
        <v>34</v>
      </c>
      <c r="M1010" t="s">
        <v>35</v>
      </c>
      <c r="N1010">
        <v>4.7</v>
      </c>
      <c r="O1010">
        <v>5</v>
      </c>
    </row>
    <row r="1011" spans="1:15" x14ac:dyDescent="0.3">
      <c r="A1011" t="s">
        <v>1907</v>
      </c>
      <c r="B1011" t="s">
        <v>453</v>
      </c>
      <c r="C1011" t="s">
        <v>824</v>
      </c>
      <c r="D1011" t="s">
        <v>30</v>
      </c>
      <c r="E1011" t="s">
        <v>100</v>
      </c>
      <c r="F1011" t="s">
        <v>179</v>
      </c>
      <c r="G1011" t="s">
        <v>6</v>
      </c>
      <c r="H1011">
        <v>1.5</v>
      </c>
      <c r="I1011">
        <v>17</v>
      </c>
      <c r="J1011">
        <v>62</v>
      </c>
      <c r="K1011" t="s">
        <v>42</v>
      </c>
      <c r="L1011" t="s">
        <v>78</v>
      </c>
      <c r="M1011" t="s">
        <v>44</v>
      </c>
      <c r="N1011">
        <v>4.5999999999999996</v>
      </c>
      <c r="O1011">
        <v>5</v>
      </c>
    </row>
    <row r="1012" spans="1:15" x14ac:dyDescent="0.3">
      <c r="A1012" t="s">
        <v>1908</v>
      </c>
      <c r="B1012" t="s">
        <v>66</v>
      </c>
      <c r="C1012" t="s">
        <v>1909</v>
      </c>
      <c r="D1012" t="s">
        <v>30</v>
      </c>
      <c r="E1012" t="s">
        <v>112</v>
      </c>
      <c r="F1012" t="s">
        <v>101</v>
      </c>
      <c r="G1012" t="s">
        <v>2</v>
      </c>
      <c r="H1012">
        <v>4.8</v>
      </c>
      <c r="I1012">
        <v>11</v>
      </c>
      <c r="J1012">
        <v>85</v>
      </c>
      <c r="K1012" t="s">
        <v>42</v>
      </c>
      <c r="L1012" t="s">
        <v>49</v>
      </c>
      <c r="M1012" t="s">
        <v>44</v>
      </c>
      <c r="N1012">
        <v>4.5</v>
      </c>
      <c r="O1012">
        <v>4.5</v>
      </c>
    </row>
    <row r="1013" spans="1:15" x14ac:dyDescent="0.3">
      <c r="A1013" t="s">
        <v>1910</v>
      </c>
      <c r="B1013" t="s">
        <v>140</v>
      </c>
      <c r="C1013" t="s">
        <v>350</v>
      </c>
      <c r="D1013" t="s">
        <v>75</v>
      </c>
      <c r="E1013" t="s">
        <v>578</v>
      </c>
      <c r="F1013" t="s">
        <v>313</v>
      </c>
      <c r="G1013" t="s">
        <v>6</v>
      </c>
      <c r="H1013">
        <v>5.5</v>
      </c>
      <c r="I1013">
        <v>17</v>
      </c>
      <c r="J1013">
        <v>184</v>
      </c>
      <c r="K1013" t="s">
        <v>42</v>
      </c>
      <c r="L1013" t="s">
        <v>43</v>
      </c>
      <c r="M1013" t="s">
        <v>44</v>
      </c>
      <c r="N1013">
        <v>4.2</v>
      </c>
      <c r="O1013">
        <v>4.7</v>
      </c>
    </row>
    <row r="1014" spans="1:15" x14ac:dyDescent="0.3">
      <c r="A1014" t="s">
        <v>1911</v>
      </c>
      <c r="B1014" t="s">
        <v>197</v>
      </c>
      <c r="C1014" t="s">
        <v>1912</v>
      </c>
      <c r="D1014" t="s">
        <v>53</v>
      </c>
      <c r="E1014" t="s">
        <v>220</v>
      </c>
      <c r="F1014" t="s">
        <v>54</v>
      </c>
      <c r="G1014" t="s">
        <v>4</v>
      </c>
      <c r="H1014">
        <v>9.9</v>
      </c>
      <c r="I1014">
        <v>24</v>
      </c>
      <c r="J1014">
        <v>385</v>
      </c>
      <c r="K1014" t="s">
        <v>33</v>
      </c>
      <c r="L1014" t="s">
        <v>64</v>
      </c>
      <c r="M1014" t="s">
        <v>44</v>
      </c>
      <c r="N1014">
        <v>4.2</v>
      </c>
      <c r="O1014">
        <v>5</v>
      </c>
    </row>
    <row r="1015" spans="1:15" x14ac:dyDescent="0.3">
      <c r="A1015" t="s">
        <v>1913</v>
      </c>
      <c r="B1015" t="s">
        <v>59</v>
      </c>
      <c r="C1015" t="s">
        <v>1914</v>
      </c>
      <c r="D1015" t="s">
        <v>39</v>
      </c>
      <c r="E1015" t="s">
        <v>40</v>
      </c>
      <c r="F1015" t="s">
        <v>41</v>
      </c>
      <c r="G1015" t="s">
        <v>5</v>
      </c>
      <c r="H1015">
        <v>6.2</v>
      </c>
      <c r="I1015">
        <v>17</v>
      </c>
      <c r="J1015">
        <v>199</v>
      </c>
      <c r="K1015" t="s">
        <v>192</v>
      </c>
      <c r="L1015" t="s">
        <v>49</v>
      </c>
      <c r="M1015" t="s">
        <v>44</v>
      </c>
      <c r="N1015">
        <v>4.8</v>
      </c>
      <c r="O1015">
        <v>4.8</v>
      </c>
    </row>
    <row r="1016" spans="1:15" x14ac:dyDescent="0.3">
      <c r="A1016" t="s">
        <v>1915</v>
      </c>
      <c r="B1016" t="s">
        <v>373</v>
      </c>
      <c r="C1016" t="s">
        <v>1916</v>
      </c>
      <c r="D1016" t="s">
        <v>106</v>
      </c>
      <c r="E1016" t="s">
        <v>443</v>
      </c>
      <c r="F1016" t="s">
        <v>187</v>
      </c>
      <c r="G1016" t="s">
        <v>2</v>
      </c>
      <c r="H1016">
        <v>1</v>
      </c>
      <c r="I1016">
        <v>5</v>
      </c>
      <c r="J1016">
        <v>41</v>
      </c>
      <c r="K1016" t="s">
        <v>33</v>
      </c>
      <c r="L1016" t="s">
        <v>64</v>
      </c>
      <c r="M1016" t="s">
        <v>44</v>
      </c>
      <c r="N1016">
        <v>4.7</v>
      </c>
      <c r="O1016">
        <v>5</v>
      </c>
    </row>
    <row r="1017" spans="1:15" x14ac:dyDescent="0.3">
      <c r="A1017" t="s">
        <v>1917</v>
      </c>
      <c r="B1017" t="s">
        <v>254</v>
      </c>
      <c r="C1017" t="s">
        <v>1918</v>
      </c>
      <c r="D1017" t="s">
        <v>81</v>
      </c>
      <c r="E1017" t="s">
        <v>201</v>
      </c>
      <c r="F1017" t="s">
        <v>90</v>
      </c>
      <c r="G1017" t="s">
        <v>2</v>
      </c>
      <c r="H1017">
        <v>3.8</v>
      </c>
      <c r="I1017">
        <v>8</v>
      </c>
      <c r="J1017">
        <v>106</v>
      </c>
      <c r="K1017" t="s">
        <v>102</v>
      </c>
      <c r="L1017" t="s">
        <v>43</v>
      </c>
      <c r="M1017" t="s">
        <v>44</v>
      </c>
      <c r="N1017">
        <v>4.4000000000000004</v>
      </c>
      <c r="O1017">
        <v>4.7</v>
      </c>
    </row>
    <row r="1018" spans="1:15" x14ac:dyDescent="0.3">
      <c r="A1018" t="s">
        <v>1919</v>
      </c>
      <c r="B1018" t="s">
        <v>189</v>
      </c>
      <c r="C1018" t="s">
        <v>1920</v>
      </c>
      <c r="D1018" t="s">
        <v>75</v>
      </c>
      <c r="E1018" t="s">
        <v>230</v>
      </c>
      <c r="F1018" t="s">
        <v>313</v>
      </c>
      <c r="G1018" t="s">
        <v>2</v>
      </c>
      <c r="H1018">
        <v>1</v>
      </c>
      <c r="I1018">
        <v>5</v>
      </c>
      <c r="J1018">
        <v>44</v>
      </c>
      <c r="K1018" t="s">
        <v>33</v>
      </c>
      <c r="L1018" t="s">
        <v>43</v>
      </c>
      <c r="M1018" t="s">
        <v>44</v>
      </c>
      <c r="N1018">
        <v>4.7</v>
      </c>
      <c r="O1018">
        <v>4.7</v>
      </c>
    </row>
    <row r="1019" spans="1:15" x14ac:dyDescent="0.3">
      <c r="A1019" t="s">
        <v>1921</v>
      </c>
      <c r="B1019" t="s">
        <v>647</v>
      </c>
      <c r="C1019" t="s">
        <v>708</v>
      </c>
      <c r="D1019" t="s">
        <v>75</v>
      </c>
      <c r="E1019" t="s">
        <v>77</v>
      </c>
      <c r="F1019" t="s">
        <v>146</v>
      </c>
      <c r="G1019" t="s">
        <v>6</v>
      </c>
      <c r="H1019">
        <v>6.2</v>
      </c>
      <c r="I1019">
        <v>5</v>
      </c>
      <c r="J1019">
        <v>175</v>
      </c>
      <c r="K1019" t="s">
        <v>102</v>
      </c>
      <c r="L1019" t="s">
        <v>78</v>
      </c>
      <c r="M1019" t="s">
        <v>44</v>
      </c>
      <c r="N1019">
        <v>4.7</v>
      </c>
      <c r="O1019">
        <v>4.9000000000000004</v>
      </c>
    </row>
    <row r="1020" spans="1:15" x14ac:dyDescent="0.3">
      <c r="A1020" t="s">
        <v>1922</v>
      </c>
      <c r="B1020" t="s">
        <v>98</v>
      </c>
      <c r="C1020" t="s">
        <v>125</v>
      </c>
      <c r="D1020" t="s">
        <v>75</v>
      </c>
      <c r="E1020" t="s">
        <v>394</v>
      </c>
      <c r="F1020" t="s">
        <v>313</v>
      </c>
      <c r="G1020" t="s">
        <v>6</v>
      </c>
      <c r="H1020">
        <v>3.1</v>
      </c>
      <c r="I1020">
        <v>5</v>
      </c>
      <c r="J1020">
        <v>159</v>
      </c>
      <c r="K1020" t="s">
        <v>102</v>
      </c>
      <c r="L1020" t="s">
        <v>71</v>
      </c>
      <c r="M1020" t="s">
        <v>44</v>
      </c>
      <c r="N1020">
        <v>5</v>
      </c>
      <c r="O1020">
        <v>5</v>
      </c>
    </row>
    <row r="1021" spans="1:15" x14ac:dyDescent="0.3">
      <c r="A1021" t="s">
        <v>1923</v>
      </c>
      <c r="B1021" t="s">
        <v>270</v>
      </c>
      <c r="C1021" t="s">
        <v>915</v>
      </c>
      <c r="D1021" t="s">
        <v>158</v>
      </c>
      <c r="E1021" t="s">
        <v>262</v>
      </c>
      <c r="F1021" t="s">
        <v>316</v>
      </c>
      <c r="G1021" t="s">
        <v>6</v>
      </c>
      <c r="H1021">
        <v>4.3</v>
      </c>
      <c r="I1021">
        <v>23</v>
      </c>
      <c r="J1021">
        <v>132</v>
      </c>
      <c r="K1021" t="s">
        <v>33</v>
      </c>
      <c r="L1021" t="s">
        <v>78</v>
      </c>
      <c r="M1021" t="s">
        <v>44</v>
      </c>
      <c r="N1021">
        <v>4.7</v>
      </c>
      <c r="O1021">
        <v>4.5999999999999996</v>
      </c>
    </row>
    <row r="1022" spans="1:15" x14ac:dyDescent="0.3">
      <c r="A1022" t="s">
        <v>1924</v>
      </c>
      <c r="B1022" t="s">
        <v>407</v>
      </c>
      <c r="C1022" t="s">
        <v>89</v>
      </c>
      <c r="D1022" t="s">
        <v>61</v>
      </c>
      <c r="E1022" t="s">
        <v>191</v>
      </c>
      <c r="F1022" t="s">
        <v>96</v>
      </c>
      <c r="G1022" t="s">
        <v>6</v>
      </c>
      <c r="H1022">
        <v>1.4</v>
      </c>
      <c r="I1022">
        <v>10</v>
      </c>
      <c r="J1022">
        <v>100</v>
      </c>
      <c r="K1022" t="s">
        <v>42</v>
      </c>
      <c r="L1022" t="s">
        <v>71</v>
      </c>
      <c r="M1022" t="s">
        <v>44</v>
      </c>
      <c r="N1022">
        <v>4.8</v>
      </c>
      <c r="O1022">
        <v>4.7</v>
      </c>
    </row>
    <row r="1023" spans="1:15" x14ac:dyDescent="0.3">
      <c r="A1023" t="s">
        <v>1925</v>
      </c>
      <c r="B1023" t="s">
        <v>523</v>
      </c>
      <c r="C1023" t="s">
        <v>1926</v>
      </c>
      <c r="D1023" t="s">
        <v>39</v>
      </c>
      <c r="E1023" t="s">
        <v>278</v>
      </c>
      <c r="F1023" t="s">
        <v>41</v>
      </c>
      <c r="G1023" t="s">
        <v>2</v>
      </c>
      <c r="H1023">
        <v>8</v>
      </c>
      <c r="I1023">
        <v>26</v>
      </c>
      <c r="J1023">
        <v>145</v>
      </c>
      <c r="K1023" t="s">
        <v>375</v>
      </c>
      <c r="L1023" t="s">
        <v>161</v>
      </c>
      <c r="M1023" t="s">
        <v>35</v>
      </c>
      <c r="N1023">
        <v>4.8</v>
      </c>
      <c r="O1023">
        <v>4.5</v>
      </c>
    </row>
    <row r="1024" spans="1:15" x14ac:dyDescent="0.3">
      <c r="A1024" t="s">
        <v>1927</v>
      </c>
      <c r="B1024" t="s">
        <v>28</v>
      </c>
      <c r="C1024" t="s">
        <v>1928</v>
      </c>
      <c r="D1024" t="s">
        <v>30</v>
      </c>
      <c r="E1024" t="s">
        <v>179</v>
      </c>
      <c r="F1024" t="s">
        <v>142</v>
      </c>
      <c r="G1024" t="s">
        <v>6</v>
      </c>
      <c r="H1024">
        <v>8.8000000000000007</v>
      </c>
      <c r="I1024">
        <v>21</v>
      </c>
      <c r="J1024">
        <v>239</v>
      </c>
      <c r="K1024" t="s">
        <v>42</v>
      </c>
      <c r="L1024" t="s">
        <v>71</v>
      </c>
      <c r="M1024" t="s">
        <v>44</v>
      </c>
      <c r="N1024">
        <v>4.5999999999999996</v>
      </c>
      <c r="O1024">
        <v>4.8</v>
      </c>
    </row>
    <row r="1025" spans="1:15" x14ac:dyDescent="0.3">
      <c r="A1025" t="s">
        <v>1929</v>
      </c>
      <c r="B1025" t="s">
        <v>604</v>
      </c>
      <c r="C1025" t="s">
        <v>1930</v>
      </c>
      <c r="D1025" t="s">
        <v>53</v>
      </c>
      <c r="E1025" t="s">
        <v>220</v>
      </c>
      <c r="F1025" t="s">
        <v>54</v>
      </c>
      <c r="G1025" t="s">
        <v>2</v>
      </c>
      <c r="H1025">
        <v>4.9000000000000004</v>
      </c>
      <c r="I1025">
        <v>10</v>
      </c>
      <c r="J1025">
        <v>100</v>
      </c>
      <c r="K1025" t="s">
        <v>33</v>
      </c>
      <c r="L1025" t="s">
        <v>49</v>
      </c>
      <c r="M1025" t="s">
        <v>44</v>
      </c>
      <c r="N1025">
        <v>4.7</v>
      </c>
      <c r="O1025">
        <v>4.8</v>
      </c>
    </row>
    <row r="1026" spans="1:15" x14ac:dyDescent="0.3">
      <c r="A1026" t="s">
        <v>1931</v>
      </c>
      <c r="B1026" t="s">
        <v>447</v>
      </c>
      <c r="C1026" t="s">
        <v>606</v>
      </c>
      <c r="D1026" t="s">
        <v>81</v>
      </c>
      <c r="E1026" t="s">
        <v>134</v>
      </c>
      <c r="F1026" t="s">
        <v>83</v>
      </c>
      <c r="G1026" t="s">
        <v>6</v>
      </c>
      <c r="H1026">
        <v>6.2</v>
      </c>
      <c r="I1026">
        <v>15</v>
      </c>
      <c r="J1026">
        <v>182</v>
      </c>
      <c r="K1026" t="s">
        <v>192</v>
      </c>
      <c r="L1026" t="s">
        <v>71</v>
      </c>
      <c r="M1026" t="s">
        <v>44</v>
      </c>
      <c r="N1026">
        <v>4.5999999999999996</v>
      </c>
      <c r="O1026">
        <v>4.5</v>
      </c>
    </row>
    <row r="1027" spans="1:15" x14ac:dyDescent="0.3">
      <c r="A1027" t="s">
        <v>1932</v>
      </c>
      <c r="B1027" t="s">
        <v>306</v>
      </c>
      <c r="C1027" t="s">
        <v>1098</v>
      </c>
      <c r="D1027" t="s">
        <v>75</v>
      </c>
      <c r="E1027" t="s">
        <v>146</v>
      </c>
      <c r="F1027" t="s">
        <v>76</v>
      </c>
      <c r="G1027" t="s">
        <v>2</v>
      </c>
      <c r="H1027">
        <v>1.5</v>
      </c>
      <c r="I1027">
        <v>5</v>
      </c>
      <c r="J1027">
        <v>57</v>
      </c>
      <c r="K1027" t="s">
        <v>33</v>
      </c>
      <c r="L1027" t="s">
        <v>78</v>
      </c>
      <c r="M1027" t="s">
        <v>44</v>
      </c>
      <c r="N1027">
        <v>4.5</v>
      </c>
      <c r="O1027">
        <v>4.9000000000000004</v>
      </c>
    </row>
    <row r="1028" spans="1:15" x14ac:dyDescent="0.3">
      <c r="A1028" t="s">
        <v>1933</v>
      </c>
      <c r="B1028" t="s">
        <v>510</v>
      </c>
      <c r="C1028" t="s">
        <v>1789</v>
      </c>
      <c r="D1028" t="s">
        <v>68</v>
      </c>
      <c r="E1028" t="s">
        <v>70</v>
      </c>
      <c r="F1028" t="s">
        <v>150</v>
      </c>
      <c r="G1028" t="s">
        <v>4</v>
      </c>
      <c r="H1028">
        <v>3</v>
      </c>
      <c r="I1028">
        <v>6</v>
      </c>
      <c r="J1028">
        <v>167</v>
      </c>
      <c r="K1028" t="s">
        <v>33</v>
      </c>
      <c r="L1028" t="s">
        <v>78</v>
      </c>
      <c r="M1028" t="s">
        <v>44</v>
      </c>
      <c r="N1028">
        <v>4.5999999999999996</v>
      </c>
      <c r="O1028">
        <v>4.8</v>
      </c>
    </row>
    <row r="1029" spans="1:15" x14ac:dyDescent="0.3">
      <c r="A1029" t="s">
        <v>1934</v>
      </c>
      <c r="B1029" t="s">
        <v>166</v>
      </c>
      <c r="C1029" t="s">
        <v>1935</v>
      </c>
      <c r="D1029" t="s">
        <v>53</v>
      </c>
      <c r="E1029" t="s">
        <v>515</v>
      </c>
      <c r="F1029" t="s">
        <v>55</v>
      </c>
      <c r="G1029" t="s">
        <v>5</v>
      </c>
      <c r="H1029">
        <v>2</v>
      </c>
      <c r="I1029">
        <v>8</v>
      </c>
      <c r="J1029">
        <v>97</v>
      </c>
      <c r="K1029" t="s">
        <v>42</v>
      </c>
      <c r="L1029" t="s">
        <v>57</v>
      </c>
      <c r="M1029" t="s">
        <v>35</v>
      </c>
      <c r="N1029">
        <v>4.8</v>
      </c>
      <c r="O1029">
        <v>4.5</v>
      </c>
    </row>
    <row r="1030" spans="1:15" x14ac:dyDescent="0.3">
      <c r="A1030" t="s">
        <v>1936</v>
      </c>
      <c r="B1030" t="s">
        <v>243</v>
      </c>
      <c r="C1030" t="s">
        <v>1937</v>
      </c>
      <c r="D1030" t="s">
        <v>158</v>
      </c>
      <c r="E1030" t="s">
        <v>160</v>
      </c>
      <c r="F1030" t="s">
        <v>284</v>
      </c>
      <c r="G1030" t="s">
        <v>3</v>
      </c>
      <c r="H1030">
        <v>5.9</v>
      </c>
      <c r="I1030">
        <v>18</v>
      </c>
      <c r="J1030">
        <v>442</v>
      </c>
      <c r="K1030" t="s">
        <v>42</v>
      </c>
      <c r="L1030" t="s">
        <v>71</v>
      </c>
      <c r="M1030" t="s">
        <v>44</v>
      </c>
      <c r="N1030">
        <v>4.5</v>
      </c>
      <c r="O1030">
        <v>4.5999999999999996</v>
      </c>
    </row>
    <row r="1031" spans="1:15" x14ac:dyDescent="0.3">
      <c r="A1031" t="s">
        <v>1938</v>
      </c>
      <c r="B1031" t="s">
        <v>523</v>
      </c>
      <c r="C1031" t="s">
        <v>1030</v>
      </c>
      <c r="D1031" t="s">
        <v>61</v>
      </c>
      <c r="E1031" t="s">
        <v>62</v>
      </c>
      <c r="F1031" t="s">
        <v>116</v>
      </c>
      <c r="G1031" t="s">
        <v>4</v>
      </c>
      <c r="H1031">
        <v>3.6</v>
      </c>
      <c r="I1031">
        <v>16</v>
      </c>
      <c r="J1031">
        <v>246</v>
      </c>
      <c r="K1031" t="s">
        <v>42</v>
      </c>
      <c r="L1031" t="s">
        <v>71</v>
      </c>
      <c r="M1031" t="s">
        <v>44</v>
      </c>
      <c r="N1031">
        <v>4.9000000000000004</v>
      </c>
      <c r="O1031">
        <v>4.8</v>
      </c>
    </row>
    <row r="1032" spans="1:15" x14ac:dyDescent="0.3">
      <c r="A1032" t="s">
        <v>1939</v>
      </c>
      <c r="B1032" t="s">
        <v>349</v>
      </c>
      <c r="C1032" t="s">
        <v>1940</v>
      </c>
      <c r="D1032" t="s">
        <v>68</v>
      </c>
      <c r="E1032" t="s">
        <v>210</v>
      </c>
      <c r="F1032" t="s">
        <v>172</v>
      </c>
      <c r="G1032" t="s">
        <v>5</v>
      </c>
      <c r="H1032">
        <v>16</v>
      </c>
      <c r="I1032">
        <v>37</v>
      </c>
      <c r="J1032">
        <v>326</v>
      </c>
      <c r="K1032" t="s">
        <v>102</v>
      </c>
      <c r="L1032" t="s">
        <v>161</v>
      </c>
      <c r="M1032" t="s">
        <v>35</v>
      </c>
      <c r="N1032">
        <v>4.5999999999999996</v>
      </c>
      <c r="O1032">
        <v>4.5999999999999996</v>
      </c>
    </row>
    <row r="1033" spans="1:15" x14ac:dyDescent="0.3">
      <c r="A1033" t="s">
        <v>1941</v>
      </c>
      <c r="B1033" t="s">
        <v>132</v>
      </c>
      <c r="C1033" t="s">
        <v>428</v>
      </c>
      <c r="D1033" t="s">
        <v>39</v>
      </c>
      <c r="E1033" t="s">
        <v>48</v>
      </c>
      <c r="F1033" t="s">
        <v>40</v>
      </c>
      <c r="G1033" t="s">
        <v>6</v>
      </c>
      <c r="H1033">
        <v>4.3</v>
      </c>
      <c r="I1033">
        <v>14</v>
      </c>
      <c r="J1033">
        <v>165</v>
      </c>
      <c r="K1033" t="s">
        <v>33</v>
      </c>
      <c r="L1033" t="s">
        <v>43</v>
      </c>
      <c r="M1033" t="s">
        <v>44</v>
      </c>
      <c r="N1033">
        <v>5</v>
      </c>
      <c r="O1033">
        <v>4.5</v>
      </c>
    </row>
    <row r="1034" spans="1:15" x14ac:dyDescent="0.3">
      <c r="A1034" t="s">
        <v>1942</v>
      </c>
      <c r="B1034" t="s">
        <v>330</v>
      </c>
      <c r="C1034" t="s">
        <v>1943</v>
      </c>
      <c r="D1034" t="s">
        <v>53</v>
      </c>
      <c r="E1034" t="s">
        <v>54</v>
      </c>
      <c r="F1034" t="s">
        <v>405</v>
      </c>
      <c r="G1034" t="s">
        <v>2</v>
      </c>
      <c r="H1034">
        <v>1</v>
      </c>
      <c r="I1034">
        <v>5</v>
      </c>
      <c r="J1034">
        <v>73</v>
      </c>
      <c r="K1034" t="s">
        <v>33</v>
      </c>
      <c r="L1034" t="s">
        <v>64</v>
      </c>
      <c r="M1034" t="s">
        <v>44</v>
      </c>
      <c r="N1034">
        <v>4.4000000000000004</v>
      </c>
      <c r="O1034">
        <v>5</v>
      </c>
    </row>
    <row r="1035" spans="1:15" x14ac:dyDescent="0.3">
      <c r="A1035" t="s">
        <v>1944</v>
      </c>
      <c r="B1035" t="s">
        <v>28</v>
      </c>
      <c r="C1035" t="s">
        <v>1945</v>
      </c>
      <c r="D1035" t="s">
        <v>81</v>
      </c>
      <c r="E1035" t="s">
        <v>91</v>
      </c>
      <c r="F1035" t="s">
        <v>351</v>
      </c>
      <c r="G1035" t="s">
        <v>2</v>
      </c>
      <c r="H1035">
        <v>3.4</v>
      </c>
      <c r="I1035">
        <v>10</v>
      </c>
      <c r="J1035">
        <v>114</v>
      </c>
      <c r="K1035" t="s">
        <v>33</v>
      </c>
      <c r="L1035" t="s">
        <v>43</v>
      </c>
      <c r="M1035" t="s">
        <v>44</v>
      </c>
      <c r="N1035">
        <v>4.8</v>
      </c>
      <c r="O1035">
        <v>4.8</v>
      </c>
    </row>
    <row r="1036" spans="1:15" x14ac:dyDescent="0.3">
      <c r="A1036" t="s">
        <v>1946</v>
      </c>
      <c r="B1036" t="s">
        <v>523</v>
      </c>
      <c r="C1036" t="s">
        <v>1254</v>
      </c>
      <c r="D1036" t="s">
        <v>30</v>
      </c>
      <c r="E1036" t="s">
        <v>101</v>
      </c>
      <c r="F1036" t="s">
        <v>100</v>
      </c>
      <c r="G1036" t="s">
        <v>2</v>
      </c>
      <c r="H1036">
        <v>4.4000000000000004</v>
      </c>
      <c r="I1036">
        <v>21</v>
      </c>
      <c r="J1036">
        <v>117</v>
      </c>
      <c r="K1036" t="s">
        <v>42</v>
      </c>
      <c r="L1036" t="s">
        <v>71</v>
      </c>
      <c r="M1036" t="s">
        <v>44</v>
      </c>
      <c r="N1036">
        <v>4.5999999999999996</v>
      </c>
      <c r="O1036">
        <v>5</v>
      </c>
    </row>
    <row r="1037" spans="1:15" x14ac:dyDescent="0.3">
      <c r="A1037" t="s">
        <v>1947</v>
      </c>
      <c r="B1037" t="s">
        <v>276</v>
      </c>
      <c r="C1037" t="s">
        <v>229</v>
      </c>
      <c r="D1037" t="s">
        <v>39</v>
      </c>
      <c r="E1037" t="s">
        <v>40</v>
      </c>
      <c r="F1037" t="s">
        <v>41</v>
      </c>
      <c r="G1037" t="s">
        <v>6</v>
      </c>
      <c r="H1037">
        <v>14.2</v>
      </c>
      <c r="I1037">
        <v>48</v>
      </c>
      <c r="J1037">
        <v>281</v>
      </c>
      <c r="K1037" t="s">
        <v>33</v>
      </c>
      <c r="L1037" t="s">
        <v>78</v>
      </c>
      <c r="M1037" t="s">
        <v>44</v>
      </c>
      <c r="N1037">
        <v>4.7</v>
      </c>
      <c r="O1037">
        <v>4.5999999999999996</v>
      </c>
    </row>
    <row r="1038" spans="1:15" x14ac:dyDescent="0.3">
      <c r="A1038" t="s">
        <v>1948</v>
      </c>
      <c r="B1038" t="s">
        <v>200</v>
      </c>
      <c r="C1038" t="s">
        <v>1949</v>
      </c>
      <c r="D1038" t="s">
        <v>106</v>
      </c>
      <c r="E1038" t="s">
        <v>168</v>
      </c>
      <c r="F1038" t="s">
        <v>187</v>
      </c>
      <c r="G1038" t="s">
        <v>6</v>
      </c>
      <c r="H1038">
        <v>22.6</v>
      </c>
      <c r="I1038">
        <v>51</v>
      </c>
      <c r="J1038">
        <v>472</v>
      </c>
      <c r="K1038" t="s">
        <v>33</v>
      </c>
      <c r="L1038" t="s">
        <v>34</v>
      </c>
      <c r="M1038" t="s">
        <v>35</v>
      </c>
      <c r="N1038">
        <v>4.4000000000000004</v>
      </c>
      <c r="O1038">
        <v>4.9000000000000004</v>
      </c>
    </row>
    <row r="1039" spans="1:15" x14ac:dyDescent="0.3">
      <c r="A1039" t="s">
        <v>1950</v>
      </c>
      <c r="B1039" t="s">
        <v>177</v>
      </c>
      <c r="C1039" t="s">
        <v>1951</v>
      </c>
      <c r="D1039" t="s">
        <v>68</v>
      </c>
      <c r="E1039" t="s">
        <v>120</v>
      </c>
      <c r="F1039" t="s">
        <v>210</v>
      </c>
      <c r="G1039" t="s">
        <v>4</v>
      </c>
      <c r="H1039">
        <v>9.1</v>
      </c>
      <c r="I1039">
        <v>28</v>
      </c>
      <c r="J1039">
        <v>298</v>
      </c>
      <c r="K1039" t="s">
        <v>33</v>
      </c>
      <c r="L1039" t="s">
        <v>49</v>
      </c>
      <c r="M1039" t="s">
        <v>44</v>
      </c>
      <c r="N1039">
        <v>4.7</v>
      </c>
      <c r="O1039">
        <v>5</v>
      </c>
    </row>
    <row r="1040" spans="1:15" x14ac:dyDescent="0.3">
      <c r="A1040" t="s">
        <v>1952</v>
      </c>
      <c r="B1040" t="s">
        <v>453</v>
      </c>
      <c r="C1040" t="s">
        <v>1953</v>
      </c>
      <c r="D1040" t="s">
        <v>68</v>
      </c>
      <c r="E1040" t="s">
        <v>69</v>
      </c>
      <c r="F1040" t="s">
        <v>172</v>
      </c>
      <c r="G1040" t="s">
        <v>3</v>
      </c>
      <c r="H1040">
        <v>9.6</v>
      </c>
      <c r="I1040">
        <v>20</v>
      </c>
      <c r="J1040">
        <v>480</v>
      </c>
      <c r="K1040" t="s">
        <v>56</v>
      </c>
      <c r="L1040" t="s">
        <v>57</v>
      </c>
      <c r="M1040" t="s">
        <v>35</v>
      </c>
      <c r="N1040">
        <v>4.7</v>
      </c>
      <c r="O1040">
        <v>4.9000000000000004</v>
      </c>
    </row>
    <row r="1041" spans="1:15" x14ac:dyDescent="0.3">
      <c r="A1041" t="s">
        <v>1954</v>
      </c>
      <c r="B1041" t="s">
        <v>163</v>
      </c>
      <c r="C1041" t="s">
        <v>1818</v>
      </c>
      <c r="D1041" t="s">
        <v>53</v>
      </c>
      <c r="E1041" t="s">
        <v>405</v>
      </c>
      <c r="F1041" t="s">
        <v>221</v>
      </c>
      <c r="G1041" t="s">
        <v>2</v>
      </c>
      <c r="H1041">
        <v>7.3</v>
      </c>
      <c r="I1041">
        <v>16</v>
      </c>
      <c r="J1041">
        <v>133</v>
      </c>
      <c r="K1041" t="s">
        <v>56</v>
      </c>
      <c r="L1041" t="s">
        <v>64</v>
      </c>
      <c r="M1041" t="s">
        <v>44</v>
      </c>
      <c r="N1041">
        <v>4.3</v>
      </c>
      <c r="O1041">
        <v>5</v>
      </c>
    </row>
    <row r="1042" spans="1:15" x14ac:dyDescent="0.3">
      <c r="A1042" t="s">
        <v>1955</v>
      </c>
      <c r="B1042" t="s">
        <v>407</v>
      </c>
      <c r="C1042" t="s">
        <v>1956</v>
      </c>
      <c r="D1042" t="s">
        <v>61</v>
      </c>
      <c r="E1042" t="s">
        <v>63</v>
      </c>
      <c r="F1042" t="s">
        <v>116</v>
      </c>
      <c r="G1042" t="s">
        <v>7</v>
      </c>
      <c r="H1042">
        <v>9.6</v>
      </c>
      <c r="I1042">
        <v>20</v>
      </c>
      <c r="J1042">
        <v>300</v>
      </c>
      <c r="K1042" t="s">
        <v>33</v>
      </c>
      <c r="L1042" t="s">
        <v>34</v>
      </c>
      <c r="M1042" t="s">
        <v>35</v>
      </c>
      <c r="N1042">
        <v>4.5</v>
      </c>
      <c r="O1042">
        <v>4.8</v>
      </c>
    </row>
    <row r="1043" spans="1:15" x14ac:dyDescent="0.3">
      <c r="A1043" t="s">
        <v>1957</v>
      </c>
      <c r="B1043" t="s">
        <v>349</v>
      </c>
      <c r="C1043" t="s">
        <v>1958</v>
      </c>
      <c r="D1043" t="s">
        <v>68</v>
      </c>
      <c r="E1043" t="s">
        <v>130</v>
      </c>
      <c r="F1043" t="s">
        <v>195</v>
      </c>
      <c r="G1043" t="s">
        <v>6</v>
      </c>
      <c r="H1043">
        <v>6.2</v>
      </c>
      <c r="I1043">
        <v>13</v>
      </c>
      <c r="J1043">
        <v>155</v>
      </c>
      <c r="K1043" t="s">
        <v>102</v>
      </c>
      <c r="L1043" t="s">
        <v>64</v>
      </c>
      <c r="M1043" t="s">
        <v>44</v>
      </c>
      <c r="N1043">
        <v>4.4000000000000004</v>
      </c>
      <c r="O1043">
        <v>4.5999999999999996</v>
      </c>
    </row>
    <row r="1044" spans="1:15" x14ac:dyDescent="0.3">
      <c r="A1044" t="s">
        <v>1959</v>
      </c>
      <c r="B1044" t="s">
        <v>727</v>
      </c>
      <c r="C1044" t="s">
        <v>1960</v>
      </c>
      <c r="D1044" t="s">
        <v>68</v>
      </c>
      <c r="E1044" t="s">
        <v>150</v>
      </c>
      <c r="F1044" t="s">
        <v>210</v>
      </c>
      <c r="G1044" t="s">
        <v>4</v>
      </c>
      <c r="H1044">
        <v>1.8</v>
      </c>
      <c r="I1044">
        <v>6</v>
      </c>
      <c r="J1044">
        <v>124</v>
      </c>
      <c r="K1044" t="s">
        <v>33</v>
      </c>
      <c r="L1044" t="s">
        <v>57</v>
      </c>
      <c r="M1044" t="s">
        <v>35</v>
      </c>
      <c r="N1044">
        <v>4.8</v>
      </c>
      <c r="O1044">
        <v>4.5</v>
      </c>
    </row>
    <row r="1045" spans="1:15" x14ac:dyDescent="0.3">
      <c r="A1045" t="s">
        <v>1961</v>
      </c>
      <c r="B1045" t="s">
        <v>232</v>
      </c>
      <c r="C1045" t="s">
        <v>1962</v>
      </c>
      <c r="D1045" t="s">
        <v>39</v>
      </c>
      <c r="E1045" t="s">
        <v>356</v>
      </c>
      <c r="F1045" t="s">
        <v>41</v>
      </c>
      <c r="G1045" t="s">
        <v>3</v>
      </c>
      <c r="H1045">
        <v>12.5</v>
      </c>
      <c r="I1045">
        <v>39</v>
      </c>
      <c r="J1045">
        <v>481</v>
      </c>
      <c r="K1045" t="s">
        <v>33</v>
      </c>
      <c r="L1045" t="s">
        <v>64</v>
      </c>
      <c r="M1045" t="s">
        <v>44</v>
      </c>
      <c r="N1045">
        <v>4.5</v>
      </c>
      <c r="O1045">
        <v>4.7</v>
      </c>
    </row>
    <row r="1046" spans="1:15" x14ac:dyDescent="0.3">
      <c r="A1046" t="s">
        <v>1963</v>
      </c>
      <c r="B1046" t="s">
        <v>122</v>
      </c>
      <c r="C1046" t="s">
        <v>1964</v>
      </c>
      <c r="D1046" t="s">
        <v>61</v>
      </c>
      <c r="E1046" t="s">
        <v>95</v>
      </c>
      <c r="F1046" t="s">
        <v>62</v>
      </c>
      <c r="G1046" t="s">
        <v>2</v>
      </c>
      <c r="H1046">
        <v>8</v>
      </c>
      <c r="I1046">
        <v>16</v>
      </c>
      <c r="J1046">
        <v>146</v>
      </c>
      <c r="K1046" t="s">
        <v>42</v>
      </c>
      <c r="L1046" t="s">
        <v>78</v>
      </c>
      <c r="M1046" t="s">
        <v>44</v>
      </c>
      <c r="N1046">
        <v>4.5999999999999996</v>
      </c>
      <c r="O1046">
        <v>4.8</v>
      </c>
    </row>
    <row r="1047" spans="1:15" x14ac:dyDescent="0.3">
      <c r="A1047" t="s">
        <v>1965</v>
      </c>
      <c r="B1047" t="s">
        <v>218</v>
      </c>
      <c r="C1047" t="s">
        <v>1966</v>
      </c>
      <c r="D1047" t="s">
        <v>68</v>
      </c>
      <c r="E1047" t="s">
        <v>150</v>
      </c>
      <c r="F1047" t="s">
        <v>120</v>
      </c>
      <c r="G1047" t="s">
        <v>7</v>
      </c>
      <c r="H1047">
        <v>23.4</v>
      </c>
      <c r="I1047">
        <v>46</v>
      </c>
      <c r="J1047">
        <v>522</v>
      </c>
      <c r="K1047" t="s">
        <v>33</v>
      </c>
      <c r="L1047" t="s">
        <v>43</v>
      </c>
      <c r="M1047" t="s">
        <v>44</v>
      </c>
      <c r="N1047">
        <v>4.8</v>
      </c>
      <c r="O1047">
        <v>4.7</v>
      </c>
    </row>
    <row r="1048" spans="1:15" x14ac:dyDescent="0.3">
      <c r="A1048" t="s">
        <v>1967</v>
      </c>
      <c r="B1048" t="s">
        <v>604</v>
      </c>
      <c r="C1048" t="s">
        <v>1280</v>
      </c>
      <c r="D1048" t="s">
        <v>30</v>
      </c>
      <c r="E1048" t="s">
        <v>32</v>
      </c>
      <c r="F1048" t="s">
        <v>142</v>
      </c>
      <c r="G1048" t="s">
        <v>7</v>
      </c>
      <c r="H1048">
        <v>15</v>
      </c>
      <c r="I1048">
        <v>52</v>
      </c>
      <c r="J1048">
        <v>433</v>
      </c>
      <c r="K1048" t="s">
        <v>102</v>
      </c>
      <c r="L1048" t="s">
        <v>64</v>
      </c>
      <c r="M1048" t="s">
        <v>44</v>
      </c>
      <c r="N1048">
        <v>4.5999999999999996</v>
      </c>
      <c r="O1048">
        <v>4.7</v>
      </c>
    </row>
    <row r="1049" spans="1:15" x14ac:dyDescent="0.3">
      <c r="A1049" t="s">
        <v>1968</v>
      </c>
      <c r="B1049" t="s">
        <v>453</v>
      </c>
      <c r="C1049" t="s">
        <v>573</v>
      </c>
      <c r="D1049" t="s">
        <v>158</v>
      </c>
      <c r="E1049" t="s">
        <v>316</v>
      </c>
      <c r="F1049" t="s">
        <v>160</v>
      </c>
      <c r="G1049" t="s">
        <v>6</v>
      </c>
      <c r="H1049">
        <v>8.9</v>
      </c>
      <c r="I1049">
        <v>25</v>
      </c>
      <c r="J1049">
        <v>223</v>
      </c>
      <c r="K1049" t="s">
        <v>33</v>
      </c>
      <c r="L1049" t="s">
        <v>43</v>
      </c>
      <c r="M1049" t="s">
        <v>44</v>
      </c>
      <c r="N1049">
        <v>4.5999999999999996</v>
      </c>
      <c r="O1049">
        <v>4.8</v>
      </c>
    </row>
    <row r="1050" spans="1:15" x14ac:dyDescent="0.3">
      <c r="A1050" t="s">
        <v>1969</v>
      </c>
      <c r="B1050" t="s">
        <v>552</v>
      </c>
      <c r="C1050" t="s">
        <v>1970</v>
      </c>
      <c r="D1050" t="s">
        <v>68</v>
      </c>
      <c r="E1050" t="s">
        <v>130</v>
      </c>
      <c r="F1050" t="s">
        <v>120</v>
      </c>
      <c r="G1050" t="s">
        <v>7</v>
      </c>
      <c r="H1050">
        <v>17.2</v>
      </c>
      <c r="I1050">
        <v>38</v>
      </c>
      <c r="J1050">
        <v>456</v>
      </c>
      <c r="K1050" t="s">
        <v>42</v>
      </c>
      <c r="L1050" t="s">
        <v>161</v>
      </c>
      <c r="M1050" t="s">
        <v>35</v>
      </c>
      <c r="N1050">
        <v>4.7</v>
      </c>
      <c r="O1050">
        <v>4.8</v>
      </c>
    </row>
    <row r="1051" spans="1:15" x14ac:dyDescent="0.3">
      <c r="A1051" t="s">
        <v>1971</v>
      </c>
      <c r="B1051" t="s">
        <v>684</v>
      </c>
      <c r="C1051" t="s">
        <v>1972</v>
      </c>
      <c r="D1051" t="s">
        <v>68</v>
      </c>
      <c r="E1051" t="s">
        <v>172</v>
      </c>
      <c r="F1051" t="s">
        <v>210</v>
      </c>
      <c r="G1051" t="s">
        <v>6</v>
      </c>
      <c r="H1051">
        <v>6.3</v>
      </c>
      <c r="I1051">
        <v>14</v>
      </c>
      <c r="J1051">
        <v>172</v>
      </c>
      <c r="K1051" t="s">
        <v>33</v>
      </c>
      <c r="L1051" t="s">
        <v>49</v>
      </c>
      <c r="M1051" t="s">
        <v>44</v>
      </c>
      <c r="N1051">
        <v>4.8</v>
      </c>
      <c r="O1051">
        <v>4.5</v>
      </c>
    </row>
    <row r="1052" spans="1:15" x14ac:dyDescent="0.3">
      <c r="A1052" t="s">
        <v>1973</v>
      </c>
      <c r="B1052" t="s">
        <v>128</v>
      </c>
      <c r="C1052" t="s">
        <v>1974</v>
      </c>
      <c r="D1052" t="s">
        <v>30</v>
      </c>
      <c r="E1052" t="s">
        <v>138</v>
      </c>
      <c r="F1052" t="s">
        <v>32</v>
      </c>
      <c r="G1052" t="s">
        <v>2</v>
      </c>
      <c r="H1052">
        <v>9.5</v>
      </c>
      <c r="I1052">
        <v>40</v>
      </c>
      <c r="J1052">
        <v>156</v>
      </c>
      <c r="K1052" t="s">
        <v>42</v>
      </c>
      <c r="L1052" t="s">
        <v>34</v>
      </c>
      <c r="M1052" t="s">
        <v>35</v>
      </c>
      <c r="N1052">
        <v>4.5999999999999996</v>
      </c>
      <c r="O1052">
        <v>4.8</v>
      </c>
    </row>
    <row r="1053" spans="1:15" x14ac:dyDescent="0.3">
      <c r="A1053" t="s">
        <v>1975</v>
      </c>
      <c r="B1053" t="s">
        <v>276</v>
      </c>
      <c r="C1053" t="s">
        <v>1976</v>
      </c>
      <c r="D1053" t="s">
        <v>30</v>
      </c>
      <c r="E1053" t="s">
        <v>112</v>
      </c>
      <c r="F1053" t="s">
        <v>100</v>
      </c>
      <c r="G1053" t="s">
        <v>6</v>
      </c>
      <c r="H1053">
        <v>2</v>
      </c>
      <c r="I1053">
        <v>11</v>
      </c>
      <c r="J1053">
        <v>87</v>
      </c>
      <c r="K1053" t="s">
        <v>375</v>
      </c>
      <c r="L1053" t="s">
        <v>161</v>
      </c>
      <c r="M1053" t="s">
        <v>35</v>
      </c>
      <c r="N1053">
        <v>4.8</v>
      </c>
      <c r="O1053">
        <v>5</v>
      </c>
    </row>
    <row r="1054" spans="1:15" x14ac:dyDescent="0.3">
      <c r="A1054" t="s">
        <v>1977</v>
      </c>
      <c r="B1054" t="s">
        <v>170</v>
      </c>
      <c r="C1054" t="s">
        <v>206</v>
      </c>
      <c r="D1054" t="s">
        <v>106</v>
      </c>
      <c r="E1054" t="s">
        <v>108</v>
      </c>
      <c r="F1054" t="s">
        <v>187</v>
      </c>
      <c r="G1054" t="s">
        <v>4</v>
      </c>
      <c r="H1054">
        <v>3.1</v>
      </c>
      <c r="I1054">
        <v>12</v>
      </c>
      <c r="J1054">
        <v>177</v>
      </c>
      <c r="K1054" t="s">
        <v>33</v>
      </c>
      <c r="L1054" t="s">
        <v>71</v>
      </c>
      <c r="M1054" t="s">
        <v>44</v>
      </c>
      <c r="N1054">
        <v>4.8</v>
      </c>
      <c r="O1054">
        <v>4.9000000000000004</v>
      </c>
    </row>
    <row r="1055" spans="1:15" x14ac:dyDescent="0.3">
      <c r="A1055" t="s">
        <v>1978</v>
      </c>
      <c r="B1055" t="s">
        <v>136</v>
      </c>
      <c r="C1055" t="s">
        <v>1580</v>
      </c>
      <c r="D1055" t="s">
        <v>81</v>
      </c>
      <c r="E1055" t="s">
        <v>83</v>
      </c>
      <c r="F1055" t="s">
        <v>351</v>
      </c>
      <c r="G1055" t="s">
        <v>6</v>
      </c>
      <c r="H1055">
        <v>13.8</v>
      </c>
      <c r="I1055">
        <v>36</v>
      </c>
      <c r="J1055">
        <v>367</v>
      </c>
      <c r="K1055" t="s">
        <v>42</v>
      </c>
      <c r="L1055" t="s">
        <v>43</v>
      </c>
      <c r="M1055" t="s">
        <v>44</v>
      </c>
      <c r="N1055">
        <v>5</v>
      </c>
      <c r="O1055">
        <v>4.5999999999999996</v>
      </c>
    </row>
    <row r="1056" spans="1:15" x14ac:dyDescent="0.3">
      <c r="A1056" t="s">
        <v>1979</v>
      </c>
      <c r="B1056" t="s">
        <v>397</v>
      </c>
      <c r="C1056" t="s">
        <v>1980</v>
      </c>
      <c r="D1056" t="s">
        <v>158</v>
      </c>
      <c r="E1056" t="s">
        <v>159</v>
      </c>
      <c r="F1056" t="s">
        <v>319</v>
      </c>
      <c r="G1056" t="s">
        <v>7</v>
      </c>
      <c r="H1056">
        <v>1.6</v>
      </c>
      <c r="I1056">
        <v>5</v>
      </c>
      <c r="J1056">
        <v>103</v>
      </c>
      <c r="K1056" t="s">
        <v>33</v>
      </c>
      <c r="L1056" t="s">
        <v>64</v>
      </c>
      <c r="M1056" t="s">
        <v>44</v>
      </c>
      <c r="N1056">
        <v>4.7</v>
      </c>
      <c r="O1056">
        <v>4.9000000000000004</v>
      </c>
    </row>
    <row r="1057" spans="1:15" x14ac:dyDescent="0.3">
      <c r="A1057" t="s">
        <v>1981</v>
      </c>
      <c r="B1057" t="s">
        <v>562</v>
      </c>
      <c r="C1057" t="s">
        <v>1412</v>
      </c>
      <c r="D1057" t="s">
        <v>158</v>
      </c>
      <c r="E1057" t="s">
        <v>159</v>
      </c>
      <c r="F1057" t="s">
        <v>319</v>
      </c>
      <c r="G1057" t="s">
        <v>6</v>
      </c>
      <c r="H1057">
        <v>19.5</v>
      </c>
      <c r="I1057">
        <v>42</v>
      </c>
      <c r="J1057">
        <v>346</v>
      </c>
      <c r="K1057" t="s">
        <v>42</v>
      </c>
      <c r="L1057" t="s">
        <v>49</v>
      </c>
      <c r="M1057" t="s">
        <v>44</v>
      </c>
      <c r="N1057">
        <v>4.8</v>
      </c>
      <c r="O1057">
        <v>4.5999999999999996</v>
      </c>
    </row>
    <row r="1058" spans="1:15" x14ac:dyDescent="0.3">
      <c r="A1058" t="s">
        <v>1982</v>
      </c>
      <c r="B1058" t="s">
        <v>246</v>
      </c>
      <c r="C1058" t="s">
        <v>1983</v>
      </c>
      <c r="D1058" t="s">
        <v>53</v>
      </c>
      <c r="E1058" t="s">
        <v>220</v>
      </c>
      <c r="F1058" t="s">
        <v>86</v>
      </c>
      <c r="G1058" t="s">
        <v>4</v>
      </c>
      <c r="H1058">
        <v>12.7</v>
      </c>
      <c r="I1058">
        <v>37</v>
      </c>
      <c r="J1058">
        <v>402</v>
      </c>
      <c r="K1058" t="s">
        <v>33</v>
      </c>
      <c r="L1058" t="s">
        <v>64</v>
      </c>
      <c r="M1058" t="s">
        <v>44</v>
      </c>
      <c r="N1058">
        <v>4.7</v>
      </c>
      <c r="O1058">
        <v>4.0999999999999996</v>
      </c>
    </row>
    <row r="1059" spans="1:15" x14ac:dyDescent="0.3">
      <c r="A1059" t="s">
        <v>1984</v>
      </c>
      <c r="B1059" t="s">
        <v>453</v>
      </c>
      <c r="C1059" t="s">
        <v>1983</v>
      </c>
      <c r="D1059" t="s">
        <v>75</v>
      </c>
      <c r="E1059" t="s">
        <v>76</v>
      </c>
      <c r="F1059" t="s">
        <v>230</v>
      </c>
      <c r="G1059" t="s">
        <v>6</v>
      </c>
      <c r="H1059">
        <v>4.5999999999999996</v>
      </c>
      <c r="I1059">
        <v>21</v>
      </c>
      <c r="J1059">
        <v>183</v>
      </c>
      <c r="K1059" t="s">
        <v>102</v>
      </c>
      <c r="L1059" t="s">
        <v>64</v>
      </c>
      <c r="M1059" t="s">
        <v>44</v>
      </c>
      <c r="N1059">
        <v>4.5999999999999996</v>
      </c>
      <c r="O1059">
        <v>5</v>
      </c>
    </row>
    <row r="1060" spans="1:15" x14ac:dyDescent="0.3">
      <c r="A1060" t="s">
        <v>1985</v>
      </c>
      <c r="B1060" t="s">
        <v>270</v>
      </c>
      <c r="C1060" t="s">
        <v>1986</v>
      </c>
      <c r="D1060" t="s">
        <v>61</v>
      </c>
      <c r="E1060" t="s">
        <v>62</v>
      </c>
      <c r="F1060" t="s">
        <v>191</v>
      </c>
      <c r="G1060" t="s">
        <v>2</v>
      </c>
      <c r="H1060">
        <v>7.1</v>
      </c>
      <c r="I1060">
        <v>16</v>
      </c>
      <c r="J1060">
        <v>149</v>
      </c>
      <c r="K1060" t="s">
        <v>33</v>
      </c>
      <c r="L1060" t="s">
        <v>43</v>
      </c>
      <c r="M1060" t="s">
        <v>44</v>
      </c>
      <c r="N1060">
        <v>4.7</v>
      </c>
      <c r="O1060">
        <v>5</v>
      </c>
    </row>
    <row r="1061" spans="1:15" x14ac:dyDescent="0.3">
      <c r="A1061" t="s">
        <v>1987</v>
      </c>
      <c r="B1061" t="s">
        <v>370</v>
      </c>
      <c r="C1061" t="s">
        <v>1988</v>
      </c>
      <c r="D1061" t="s">
        <v>61</v>
      </c>
      <c r="E1061" t="s">
        <v>62</v>
      </c>
      <c r="F1061" t="s">
        <v>328</v>
      </c>
      <c r="G1061" t="s">
        <v>4</v>
      </c>
      <c r="H1061">
        <v>1.8</v>
      </c>
      <c r="I1061">
        <v>9</v>
      </c>
      <c r="J1061">
        <v>128</v>
      </c>
      <c r="K1061" t="s">
        <v>42</v>
      </c>
      <c r="L1061" t="s">
        <v>49</v>
      </c>
      <c r="M1061" t="s">
        <v>44</v>
      </c>
      <c r="N1061">
        <v>4.4000000000000004</v>
      </c>
      <c r="O1061">
        <v>5</v>
      </c>
    </row>
    <row r="1062" spans="1:15" x14ac:dyDescent="0.3">
      <c r="A1062" t="s">
        <v>1989</v>
      </c>
      <c r="B1062" t="s">
        <v>349</v>
      </c>
      <c r="C1062" t="s">
        <v>1990</v>
      </c>
      <c r="D1062" t="s">
        <v>158</v>
      </c>
      <c r="E1062" t="s">
        <v>160</v>
      </c>
      <c r="F1062" t="s">
        <v>284</v>
      </c>
      <c r="G1062" t="s">
        <v>4</v>
      </c>
      <c r="H1062">
        <v>4</v>
      </c>
      <c r="I1062">
        <v>19</v>
      </c>
      <c r="J1062">
        <v>208</v>
      </c>
      <c r="K1062" t="s">
        <v>33</v>
      </c>
      <c r="L1062" t="s">
        <v>71</v>
      </c>
      <c r="M1062" t="s">
        <v>44</v>
      </c>
      <c r="N1062">
        <v>4.5999999999999996</v>
      </c>
      <c r="O1062">
        <v>4.5999999999999996</v>
      </c>
    </row>
    <row r="1063" spans="1:15" x14ac:dyDescent="0.3">
      <c r="A1063" t="s">
        <v>1991</v>
      </c>
      <c r="B1063" t="s">
        <v>422</v>
      </c>
      <c r="C1063" t="s">
        <v>1992</v>
      </c>
      <c r="D1063" t="s">
        <v>39</v>
      </c>
      <c r="E1063" t="s">
        <v>484</v>
      </c>
      <c r="F1063" t="s">
        <v>41</v>
      </c>
      <c r="G1063" t="s">
        <v>6</v>
      </c>
      <c r="H1063">
        <v>5.3</v>
      </c>
      <c r="I1063">
        <v>18</v>
      </c>
      <c r="J1063">
        <v>145</v>
      </c>
      <c r="K1063" t="s">
        <v>33</v>
      </c>
      <c r="L1063" t="s">
        <v>43</v>
      </c>
      <c r="M1063" t="s">
        <v>44</v>
      </c>
      <c r="N1063">
        <v>5</v>
      </c>
      <c r="O1063">
        <v>5</v>
      </c>
    </row>
    <row r="1064" spans="1:15" x14ac:dyDescent="0.3">
      <c r="A1064" t="s">
        <v>1993</v>
      </c>
      <c r="B1064" t="s">
        <v>93</v>
      </c>
      <c r="C1064" t="s">
        <v>1994</v>
      </c>
      <c r="D1064" t="s">
        <v>61</v>
      </c>
      <c r="E1064" t="s">
        <v>95</v>
      </c>
      <c r="F1064" t="s">
        <v>328</v>
      </c>
      <c r="G1064" t="s">
        <v>2</v>
      </c>
      <c r="H1064">
        <v>1.8</v>
      </c>
      <c r="I1064">
        <v>8</v>
      </c>
      <c r="J1064">
        <v>66</v>
      </c>
      <c r="K1064" t="s">
        <v>42</v>
      </c>
      <c r="L1064" t="s">
        <v>64</v>
      </c>
      <c r="M1064" t="s">
        <v>44</v>
      </c>
      <c r="N1064">
        <v>4.7</v>
      </c>
      <c r="O1064">
        <v>4.5</v>
      </c>
    </row>
    <row r="1065" spans="1:15" x14ac:dyDescent="0.3">
      <c r="A1065" t="s">
        <v>1995</v>
      </c>
      <c r="B1065" t="s">
        <v>88</v>
      </c>
      <c r="C1065" t="s">
        <v>589</v>
      </c>
      <c r="D1065" t="s">
        <v>75</v>
      </c>
      <c r="E1065" t="s">
        <v>239</v>
      </c>
      <c r="F1065" t="s">
        <v>146</v>
      </c>
      <c r="G1065" t="s">
        <v>6</v>
      </c>
      <c r="H1065">
        <v>6.7</v>
      </c>
      <c r="I1065">
        <v>28</v>
      </c>
      <c r="J1065">
        <v>230</v>
      </c>
      <c r="K1065" t="s">
        <v>192</v>
      </c>
      <c r="L1065" t="s">
        <v>71</v>
      </c>
      <c r="M1065" t="s">
        <v>44</v>
      </c>
      <c r="N1065">
        <v>4.5999999999999996</v>
      </c>
      <c r="O1065">
        <v>4.9000000000000004</v>
      </c>
    </row>
    <row r="1066" spans="1:15" x14ac:dyDescent="0.3">
      <c r="A1066" t="s">
        <v>1996</v>
      </c>
      <c r="B1066" t="s">
        <v>197</v>
      </c>
      <c r="C1066" t="s">
        <v>1997</v>
      </c>
      <c r="D1066" t="s">
        <v>39</v>
      </c>
      <c r="E1066" t="s">
        <v>48</v>
      </c>
      <c r="F1066" t="s">
        <v>40</v>
      </c>
      <c r="G1066" t="s">
        <v>6</v>
      </c>
      <c r="H1066">
        <v>6</v>
      </c>
      <c r="I1066">
        <v>23</v>
      </c>
      <c r="J1066">
        <v>139</v>
      </c>
      <c r="K1066" t="s">
        <v>33</v>
      </c>
      <c r="L1066" t="s">
        <v>64</v>
      </c>
      <c r="M1066" t="s">
        <v>44</v>
      </c>
      <c r="N1066">
        <v>4.9000000000000004</v>
      </c>
      <c r="O1066">
        <v>4.3</v>
      </c>
    </row>
    <row r="1067" spans="1:15" x14ac:dyDescent="0.3">
      <c r="A1067" t="s">
        <v>1998</v>
      </c>
      <c r="B1067" t="s">
        <v>144</v>
      </c>
      <c r="C1067" t="s">
        <v>680</v>
      </c>
      <c r="D1067" t="s">
        <v>30</v>
      </c>
      <c r="E1067" t="s">
        <v>142</v>
      </c>
      <c r="F1067" t="s">
        <v>31</v>
      </c>
      <c r="G1067" t="s">
        <v>2</v>
      </c>
      <c r="H1067">
        <v>4.2</v>
      </c>
      <c r="I1067">
        <v>16</v>
      </c>
      <c r="J1067">
        <v>131</v>
      </c>
      <c r="K1067" t="s">
        <v>102</v>
      </c>
      <c r="L1067" t="s">
        <v>64</v>
      </c>
      <c r="M1067" t="s">
        <v>44</v>
      </c>
      <c r="N1067">
        <v>5</v>
      </c>
      <c r="O1067">
        <v>5</v>
      </c>
    </row>
    <row r="1068" spans="1:15" x14ac:dyDescent="0.3">
      <c r="A1068" t="s">
        <v>1999</v>
      </c>
      <c r="B1068" t="s">
        <v>37</v>
      </c>
      <c r="C1068" t="s">
        <v>287</v>
      </c>
      <c r="D1068" t="s">
        <v>53</v>
      </c>
      <c r="E1068" t="s">
        <v>221</v>
      </c>
      <c r="F1068" t="s">
        <v>220</v>
      </c>
      <c r="G1068" t="s">
        <v>2</v>
      </c>
      <c r="H1068">
        <v>5.5</v>
      </c>
      <c r="I1068">
        <v>15</v>
      </c>
      <c r="J1068">
        <v>97</v>
      </c>
      <c r="K1068" t="s">
        <v>33</v>
      </c>
      <c r="L1068" t="s">
        <v>78</v>
      </c>
      <c r="M1068" t="s">
        <v>44</v>
      </c>
      <c r="N1068">
        <v>4.9000000000000004</v>
      </c>
      <c r="O1068">
        <v>5</v>
      </c>
    </row>
    <row r="1069" spans="1:15" x14ac:dyDescent="0.3">
      <c r="A1069" t="s">
        <v>2000</v>
      </c>
      <c r="B1069" t="s">
        <v>510</v>
      </c>
      <c r="C1069" t="s">
        <v>496</v>
      </c>
      <c r="D1069" t="s">
        <v>106</v>
      </c>
      <c r="E1069" t="s">
        <v>472</v>
      </c>
      <c r="F1069" t="s">
        <v>126</v>
      </c>
      <c r="G1069" t="s">
        <v>2</v>
      </c>
      <c r="H1069">
        <v>4.2</v>
      </c>
      <c r="I1069">
        <v>9</v>
      </c>
      <c r="J1069">
        <v>78</v>
      </c>
      <c r="K1069" t="s">
        <v>33</v>
      </c>
      <c r="L1069" t="s">
        <v>64</v>
      </c>
      <c r="M1069" t="s">
        <v>44</v>
      </c>
      <c r="N1069">
        <v>4.5</v>
      </c>
      <c r="O1069">
        <v>4.7</v>
      </c>
    </row>
    <row r="1070" spans="1:15" x14ac:dyDescent="0.3">
      <c r="A1070" t="s">
        <v>2001</v>
      </c>
      <c r="B1070" t="s">
        <v>410</v>
      </c>
      <c r="C1070" t="s">
        <v>2002</v>
      </c>
      <c r="D1070" t="s">
        <v>106</v>
      </c>
      <c r="E1070" t="s">
        <v>443</v>
      </c>
      <c r="F1070" t="s">
        <v>126</v>
      </c>
      <c r="G1070" t="s">
        <v>4</v>
      </c>
      <c r="H1070">
        <v>3.9</v>
      </c>
      <c r="I1070">
        <v>11</v>
      </c>
      <c r="J1070">
        <v>168</v>
      </c>
      <c r="K1070" t="s">
        <v>33</v>
      </c>
      <c r="L1070" t="s">
        <v>49</v>
      </c>
      <c r="M1070" t="s">
        <v>44</v>
      </c>
      <c r="N1070">
        <v>5</v>
      </c>
      <c r="O1070">
        <v>4.4000000000000004</v>
      </c>
    </row>
    <row r="1071" spans="1:15" x14ac:dyDescent="0.3">
      <c r="A1071" t="s">
        <v>2003</v>
      </c>
      <c r="B1071" t="s">
        <v>243</v>
      </c>
      <c r="C1071" t="s">
        <v>2004</v>
      </c>
      <c r="D1071" t="s">
        <v>39</v>
      </c>
      <c r="E1071" t="s">
        <v>278</v>
      </c>
      <c r="F1071" t="s">
        <v>155</v>
      </c>
      <c r="G1071" t="s">
        <v>2</v>
      </c>
      <c r="H1071">
        <v>1.3</v>
      </c>
      <c r="I1071">
        <v>7</v>
      </c>
      <c r="J1071">
        <v>53</v>
      </c>
      <c r="K1071" t="s">
        <v>33</v>
      </c>
      <c r="L1071" t="s">
        <v>64</v>
      </c>
      <c r="M1071" t="s">
        <v>44</v>
      </c>
      <c r="N1071">
        <v>4.2</v>
      </c>
      <c r="O1071">
        <v>4.7</v>
      </c>
    </row>
    <row r="1072" spans="1:15" x14ac:dyDescent="0.3">
      <c r="A1072" t="s">
        <v>2005</v>
      </c>
      <c r="B1072" t="s">
        <v>306</v>
      </c>
      <c r="C1072" t="s">
        <v>2006</v>
      </c>
      <c r="D1072" t="s">
        <v>39</v>
      </c>
      <c r="E1072" t="s">
        <v>41</v>
      </c>
      <c r="F1072" t="s">
        <v>484</v>
      </c>
      <c r="G1072" t="s">
        <v>5</v>
      </c>
      <c r="H1072">
        <v>2.1</v>
      </c>
      <c r="I1072">
        <v>8</v>
      </c>
      <c r="J1072">
        <v>97</v>
      </c>
      <c r="K1072" t="s">
        <v>375</v>
      </c>
      <c r="L1072" t="s">
        <v>34</v>
      </c>
      <c r="M1072" t="s">
        <v>35</v>
      </c>
      <c r="N1072">
        <v>4.4000000000000004</v>
      </c>
      <c r="O1072">
        <v>4.8</v>
      </c>
    </row>
    <row r="1073" spans="1:15" x14ac:dyDescent="0.3">
      <c r="A1073" t="s">
        <v>2007</v>
      </c>
      <c r="B1073" t="s">
        <v>66</v>
      </c>
      <c r="C1073" t="s">
        <v>2008</v>
      </c>
      <c r="D1073" t="s">
        <v>30</v>
      </c>
      <c r="E1073" t="s">
        <v>142</v>
      </c>
      <c r="F1073" t="s">
        <v>31</v>
      </c>
      <c r="G1073" t="s">
        <v>3</v>
      </c>
      <c r="H1073">
        <v>3.2</v>
      </c>
      <c r="I1073">
        <v>15</v>
      </c>
      <c r="J1073">
        <v>288</v>
      </c>
      <c r="K1073" t="s">
        <v>42</v>
      </c>
      <c r="L1073" t="s">
        <v>71</v>
      </c>
      <c r="M1073" t="s">
        <v>44</v>
      </c>
      <c r="N1073">
        <v>4.8</v>
      </c>
      <c r="O1073">
        <v>4.8</v>
      </c>
    </row>
    <row r="1074" spans="1:15" x14ac:dyDescent="0.3">
      <c r="A1074" t="s">
        <v>2009</v>
      </c>
      <c r="B1074" t="s">
        <v>552</v>
      </c>
      <c r="C1074" t="s">
        <v>2010</v>
      </c>
      <c r="D1074" t="s">
        <v>68</v>
      </c>
      <c r="E1074" t="s">
        <v>120</v>
      </c>
      <c r="F1074" t="s">
        <v>150</v>
      </c>
      <c r="G1074" t="s">
        <v>3</v>
      </c>
      <c r="H1074">
        <v>12.6</v>
      </c>
      <c r="I1074">
        <v>28</v>
      </c>
      <c r="J1074">
        <v>780</v>
      </c>
      <c r="K1074" t="s">
        <v>33</v>
      </c>
      <c r="L1074" t="s">
        <v>71</v>
      </c>
      <c r="M1074" t="s">
        <v>44</v>
      </c>
      <c r="N1074">
        <v>4.9000000000000004</v>
      </c>
      <c r="O1074">
        <v>4.8</v>
      </c>
    </row>
    <row r="1075" spans="1:15" x14ac:dyDescent="0.3">
      <c r="A1075" t="s">
        <v>2011</v>
      </c>
      <c r="B1075" t="s">
        <v>297</v>
      </c>
      <c r="C1075" t="s">
        <v>2012</v>
      </c>
      <c r="D1075" t="s">
        <v>39</v>
      </c>
      <c r="E1075" t="s">
        <v>356</v>
      </c>
      <c r="F1075" t="s">
        <v>154</v>
      </c>
      <c r="G1075" t="s">
        <v>3</v>
      </c>
      <c r="H1075">
        <v>10.3</v>
      </c>
      <c r="I1075">
        <v>23</v>
      </c>
      <c r="J1075">
        <v>528</v>
      </c>
      <c r="K1075" t="s">
        <v>102</v>
      </c>
      <c r="L1075" t="s">
        <v>71</v>
      </c>
      <c r="M1075" t="s">
        <v>44</v>
      </c>
      <c r="N1075">
        <v>4.7</v>
      </c>
      <c r="O1075">
        <v>5</v>
      </c>
    </row>
    <row r="1076" spans="1:15" x14ac:dyDescent="0.3">
      <c r="A1076" t="s">
        <v>2013</v>
      </c>
      <c r="B1076" t="s">
        <v>403</v>
      </c>
      <c r="C1076" t="s">
        <v>2014</v>
      </c>
      <c r="D1076" t="s">
        <v>68</v>
      </c>
      <c r="E1076" t="s">
        <v>172</v>
      </c>
      <c r="F1076" t="s">
        <v>195</v>
      </c>
      <c r="G1076" t="s">
        <v>4</v>
      </c>
      <c r="H1076">
        <v>3.8</v>
      </c>
      <c r="I1076">
        <v>10</v>
      </c>
      <c r="J1076">
        <v>153</v>
      </c>
      <c r="K1076" t="s">
        <v>102</v>
      </c>
      <c r="L1076" t="s">
        <v>57</v>
      </c>
      <c r="M1076" t="s">
        <v>35</v>
      </c>
      <c r="N1076">
        <v>4.5999999999999996</v>
      </c>
      <c r="O1076">
        <v>4.7</v>
      </c>
    </row>
    <row r="1077" spans="1:15" x14ac:dyDescent="0.3">
      <c r="A1077" t="s">
        <v>2015</v>
      </c>
      <c r="B1077" t="s">
        <v>88</v>
      </c>
      <c r="C1077" t="s">
        <v>2016</v>
      </c>
      <c r="D1077" t="s">
        <v>75</v>
      </c>
      <c r="E1077" t="s">
        <v>230</v>
      </c>
      <c r="F1077" t="s">
        <v>394</v>
      </c>
      <c r="G1077" t="s">
        <v>6</v>
      </c>
      <c r="H1077">
        <v>15.3</v>
      </c>
      <c r="I1077">
        <v>42</v>
      </c>
      <c r="J1077">
        <v>354</v>
      </c>
      <c r="K1077" t="s">
        <v>33</v>
      </c>
      <c r="L1077" t="s">
        <v>78</v>
      </c>
      <c r="M1077" t="s">
        <v>44</v>
      </c>
      <c r="N1077">
        <v>5</v>
      </c>
      <c r="O1077">
        <v>4.9000000000000004</v>
      </c>
    </row>
    <row r="1078" spans="1:15" x14ac:dyDescent="0.3">
      <c r="A1078" t="s">
        <v>2017</v>
      </c>
      <c r="B1078" t="s">
        <v>407</v>
      </c>
      <c r="C1078" t="s">
        <v>2018</v>
      </c>
      <c r="D1078" t="s">
        <v>30</v>
      </c>
      <c r="E1078" t="s">
        <v>101</v>
      </c>
      <c r="F1078" t="s">
        <v>138</v>
      </c>
      <c r="G1078" t="s">
        <v>4</v>
      </c>
      <c r="H1078">
        <v>6.8</v>
      </c>
      <c r="I1078">
        <v>17</v>
      </c>
      <c r="J1078">
        <v>344</v>
      </c>
      <c r="K1078" t="s">
        <v>102</v>
      </c>
      <c r="L1078" t="s">
        <v>71</v>
      </c>
      <c r="M1078" t="s">
        <v>44</v>
      </c>
      <c r="N1078">
        <v>4.9000000000000004</v>
      </c>
      <c r="O1078">
        <v>4.7</v>
      </c>
    </row>
    <row r="1079" spans="1:15" x14ac:dyDescent="0.3">
      <c r="A1079" t="s">
        <v>2019</v>
      </c>
      <c r="B1079" t="s">
        <v>205</v>
      </c>
      <c r="C1079" t="s">
        <v>1236</v>
      </c>
      <c r="D1079" t="s">
        <v>30</v>
      </c>
      <c r="E1079" t="s">
        <v>179</v>
      </c>
      <c r="F1079" t="s">
        <v>138</v>
      </c>
      <c r="G1079" t="s">
        <v>6</v>
      </c>
      <c r="H1079">
        <v>18.7</v>
      </c>
      <c r="I1079">
        <v>48</v>
      </c>
      <c r="J1079">
        <v>466</v>
      </c>
      <c r="K1079" t="s">
        <v>192</v>
      </c>
      <c r="L1079" t="s">
        <v>43</v>
      </c>
      <c r="M1079" t="s">
        <v>44</v>
      </c>
      <c r="N1079">
        <v>5</v>
      </c>
      <c r="O1079">
        <v>4.8</v>
      </c>
    </row>
    <row r="1080" spans="1:15" x14ac:dyDescent="0.3">
      <c r="A1080" t="s">
        <v>2020</v>
      </c>
      <c r="B1080" t="s">
        <v>422</v>
      </c>
      <c r="C1080" t="s">
        <v>517</v>
      </c>
      <c r="D1080" t="s">
        <v>75</v>
      </c>
      <c r="E1080" t="s">
        <v>313</v>
      </c>
      <c r="F1080" t="s">
        <v>230</v>
      </c>
      <c r="G1080" t="s">
        <v>6</v>
      </c>
      <c r="H1080">
        <v>6.2</v>
      </c>
      <c r="I1080">
        <v>21</v>
      </c>
      <c r="J1080">
        <v>178</v>
      </c>
      <c r="K1080" t="s">
        <v>102</v>
      </c>
      <c r="L1080" t="s">
        <v>64</v>
      </c>
      <c r="M1080" t="s">
        <v>44</v>
      </c>
      <c r="N1080">
        <v>4.9000000000000004</v>
      </c>
      <c r="O1080">
        <v>4.9000000000000004</v>
      </c>
    </row>
    <row r="1081" spans="1:15" x14ac:dyDescent="0.3">
      <c r="A1081" t="s">
        <v>2021</v>
      </c>
      <c r="B1081" t="s">
        <v>481</v>
      </c>
      <c r="C1081" t="s">
        <v>1703</v>
      </c>
      <c r="D1081" t="s">
        <v>39</v>
      </c>
      <c r="E1081" t="s">
        <v>40</v>
      </c>
      <c r="F1081" t="s">
        <v>356</v>
      </c>
      <c r="G1081" t="s">
        <v>5</v>
      </c>
      <c r="H1081">
        <v>5.3</v>
      </c>
      <c r="I1081">
        <v>17</v>
      </c>
      <c r="J1081">
        <v>214</v>
      </c>
      <c r="K1081" t="s">
        <v>33</v>
      </c>
      <c r="L1081" t="s">
        <v>71</v>
      </c>
      <c r="M1081" t="s">
        <v>44</v>
      </c>
      <c r="N1081">
        <v>4.5999999999999996</v>
      </c>
      <c r="O1081">
        <v>4.8</v>
      </c>
    </row>
    <row r="1082" spans="1:15" x14ac:dyDescent="0.3">
      <c r="A1082" t="s">
        <v>2022</v>
      </c>
      <c r="B1082" t="s">
        <v>458</v>
      </c>
      <c r="C1082" t="s">
        <v>2023</v>
      </c>
      <c r="D1082" t="s">
        <v>61</v>
      </c>
      <c r="E1082" t="s">
        <v>116</v>
      </c>
      <c r="F1082" t="s">
        <v>191</v>
      </c>
      <c r="G1082" t="s">
        <v>2</v>
      </c>
      <c r="H1082">
        <v>2.9</v>
      </c>
      <c r="I1082">
        <v>10</v>
      </c>
      <c r="J1082">
        <v>70</v>
      </c>
      <c r="K1082" t="s">
        <v>33</v>
      </c>
      <c r="L1082" t="s">
        <v>43</v>
      </c>
      <c r="M1082" t="s">
        <v>44</v>
      </c>
      <c r="N1082">
        <v>5</v>
      </c>
      <c r="O1082">
        <v>4.7</v>
      </c>
    </row>
    <row r="1083" spans="1:15" x14ac:dyDescent="0.3">
      <c r="A1083" t="s">
        <v>2024</v>
      </c>
      <c r="B1083" t="s">
        <v>181</v>
      </c>
      <c r="C1083" t="s">
        <v>247</v>
      </c>
      <c r="D1083" t="s">
        <v>53</v>
      </c>
      <c r="E1083" t="s">
        <v>405</v>
      </c>
      <c r="F1083" t="s">
        <v>54</v>
      </c>
      <c r="G1083" t="s">
        <v>5</v>
      </c>
      <c r="H1083">
        <v>16.899999999999999</v>
      </c>
      <c r="I1083">
        <v>40</v>
      </c>
      <c r="J1083">
        <v>538</v>
      </c>
      <c r="K1083" t="s">
        <v>102</v>
      </c>
      <c r="L1083" t="s">
        <v>71</v>
      </c>
      <c r="M1083" t="s">
        <v>44</v>
      </c>
      <c r="N1083">
        <v>4.8</v>
      </c>
      <c r="O1083">
        <v>4.8</v>
      </c>
    </row>
    <row r="1084" spans="1:15" x14ac:dyDescent="0.3">
      <c r="A1084" t="s">
        <v>2025</v>
      </c>
      <c r="B1084" t="s">
        <v>181</v>
      </c>
      <c r="C1084" t="s">
        <v>1425</v>
      </c>
      <c r="D1084" t="s">
        <v>68</v>
      </c>
      <c r="E1084" t="s">
        <v>210</v>
      </c>
      <c r="F1084" t="s">
        <v>70</v>
      </c>
      <c r="G1084" t="s">
        <v>2</v>
      </c>
      <c r="H1084">
        <v>2.6</v>
      </c>
      <c r="I1084">
        <v>5</v>
      </c>
      <c r="J1084">
        <v>88</v>
      </c>
      <c r="K1084" t="s">
        <v>102</v>
      </c>
      <c r="L1084" t="s">
        <v>71</v>
      </c>
      <c r="M1084" t="s">
        <v>44</v>
      </c>
      <c r="N1084">
        <v>4.8</v>
      </c>
      <c r="O1084">
        <v>4.7</v>
      </c>
    </row>
    <row r="1085" spans="1:15" x14ac:dyDescent="0.3">
      <c r="A1085" t="s">
        <v>2026</v>
      </c>
      <c r="B1085" t="s">
        <v>88</v>
      </c>
      <c r="C1085" t="s">
        <v>2027</v>
      </c>
      <c r="D1085" t="s">
        <v>30</v>
      </c>
      <c r="E1085" t="s">
        <v>32</v>
      </c>
      <c r="F1085" t="s">
        <v>100</v>
      </c>
      <c r="G1085" t="s">
        <v>6</v>
      </c>
      <c r="H1085">
        <v>8.3000000000000007</v>
      </c>
      <c r="I1085">
        <v>29</v>
      </c>
      <c r="J1085">
        <v>169</v>
      </c>
      <c r="K1085" t="s">
        <v>33</v>
      </c>
      <c r="L1085" t="s">
        <v>43</v>
      </c>
      <c r="M1085" t="s">
        <v>44</v>
      </c>
      <c r="N1085">
        <v>5</v>
      </c>
      <c r="O1085">
        <v>4.8</v>
      </c>
    </row>
    <row r="1086" spans="1:15" x14ac:dyDescent="0.3">
      <c r="A1086" t="s">
        <v>2028</v>
      </c>
      <c r="B1086" t="s">
        <v>276</v>
      </c>
      <c r="C1086" t="s">
        <v>1756</v>
      </c>
      <c r="D1086" t="s">
        <v>106</v>
      </c>
      <c r="E1086" t="s">
        <v>107</v>
      </c>
      <c r="F1086" t="s">
        <v>126</v>
      </c>
      <c r="G1086" t="s">
        <v>3</v>
      </c>
      <c r="H1086">
        <v>2.2999999999999998</v>
      </c>
      <c r="I1086">
        <v>5</v>
      </c>
      <c r="J1086">
        <v>229</v>
      </c>
      <c r="K1086" t="s">
        <v>102</v>
      </c>
      <c r="L1086" t="s">
        <v>43</v>
      </c>
      <c r="M1086" t="s">
        <v>44</v>
      </c>
      <c r="N1086">
        <v>4.4000000000000004</v>
      </c>
      <c r="O1086">
        <v>5</v>
      </c>
    </row>
    <row r="1087" spans="1:15" x14ac:dyDescent="0.3">
      <c r="A1087" t="s">
        <v>2029</v>
      </c>
      <c r="B1087" t="s">
        <v>136</v>
      </c>
      <c r="C1087" t="s">
        <v>2030</v>
      </c>
      <c r="D1087" t="s">
        <v>106</v>
      </c>
      <c r="E1087" t="s">
        <v>168</v>
      </c>
      <c r="F1087" t="s">
        <v>126</v>
      </c>
      <c r="G1087" t="s">
        <v>2</v>
      </c>
      <c r="H1087">
        <v>6.5</v>
      </c>
      <c r="I1087">
        <v>12</v>
      </c>
      <c r="J1087">
        <v>123</v>
      </c>
      <c r="K1087" t="s">
        <v>33</v>
      </c>
      <c r="L1087" t="s">
        <v>43</v>
      </c>
      <c r="M1087" t="s">
        <v>44</v>
      </c>
      <c r="N1087">
        <v>5</v>
      </c>
      <c r="O1087">
        <v>4.9000000000000004</v>
      </c>
    </row>
    <row r="1088" spans="1:15" x14ac:dyDescent="0.3">
      <c r="A1088" t="s">
        <v>2031</v>
      </c>
      <c r="B1088" t="s">
        <v>684</v>
      </c>
      <c r="C1088" t="s">
        <v>2032</v>
      </c>
      <c r="D1088" t="s">
        <v>158</v>
      </c>
      <c r="E1088" t="s">
        <v>319</v>
      </c>
      <c r="F1088" t="s">
        <v>334</v>
      </c>
      <c r="G1088" t="s">
        <v>6</v>
      </c>
      <c r="H1088">
        <v>5.7</v>
      </c>
      <c r="I1088">
        <v>19</v>
      </c>
      <c r="J1088">
        <v>158</v>
      </c>
      <c r="K1088" t="s">
        <v>33</v>
      </c>
      <c r="L1088" t="s">
        <v>64</v>
      </c>
      <c r="M1088" t="s">
        <v>44</v>
      </c>
      <c r="N1088">
        <v>5</v>
      </c>
      <c r="O1088">
        <v>5</v>
      </c>
    </row>
    <row r="1089" spans="1:15" x14ac:dyDescent="0.3">
      <c r="A1089" t="s">
        <v>2033</v>
      </c>
      <c r="B1089" t="s">
        <v>232</v>
      </c>
      <c r="C1089" t="s">
        <v>1732</v>
      </c>
      <c r="D1089" t="s">
        <v>30</v>
      </c>
      <c r="E1089" t="s">
        <v>112</v>
      </c>
      <c r="F1089" t="s">
        <v>142</v>
      </c>
      <c r="G1089" t="s">
        <v>6</v>
      </c>
      <c r="H1089">
        <v>7.1</v>
      </c>
      <c r="I1089">
        <v>24</v>
      </c>
      <c r="J1089">
        <v>169</v>
      </c>
      <c r="K1089" t="s">
        <v>33</v>
      </c>
      <c r="L1089" t="s">
        <v>34</v>
      </c>
      <c r="M1089" t="s">
        <v>35</v>
      </c>
      <c r="N1089">
        <v>5</v>
      </c>
      <c r="O1089">
        <v>4.7</v>
      </c>
    </row>
    <row r="1090" spans="1:15" x14ac:dyDescent="0.3">
      <c r="A1090" t="s">
        <v>2034</v>
      </c>
      <c r="B1090" t="s">
        <v>166</v>
      </c>
      <c r="C1090" t="s">
        <v>1815</v>
      </c>
      <c r="D1090" t="s">
        <v>68</v>
      </c>
      <c r="E1090" t="s">
        <v>195</v>
      </c>
      <c r="F1090" t="s">
        <v>120</v>
      </c>
      <c r="G1090" t="s">
        <v>7</v>
      </c>
      <c r="H1090">
        <v>7.7</v>
      </c>
      <c r="I1090">
        <v>15</v>
      </c>
      <c r="J1090">
        <v>307</v>
      </c>
      <c r="K1090" t="s">
        <v>33</v>
      </c>
      <c r="L1090" t="s">
        <v>64</v>
      </c>
      <c r="M1090" t="s">
        <v>44</v>
      </c>
      <c r="N1090">
        <v>4.7</v>
      </c>
      <c r="O1090">
        <v>4.7</v>
      </c>
    </row>
    <row r="1091" spans="1:15" x14ac:dyDescent="0.3">
      <c r="A1091" t="s">
        <v>2035</v>
      </c>
      <c r="B1091" t="s">
        <v>128</v>
      </c>
      <c r="C1091" t="s">
        <v>1293</v>
      </c>
      <c r="D1091" t="s">
        <v>30</v>
      </c>
      <c r="E1091" t="s">
        <v>112</v>
      </c>
      <c r="F1091" t="s">
        <v>31</v>
      </c>
      <c r="G1091" t="s">
        <v>3</v>
      </c>
      <c r="H1091">
        <v>3.8</v>
      </c>
      <c r="I1091">
        <v>21</v>
      </c>
      <c r="J1091">
        <v>336</v>
      </c>
      <c r="K1091" t="s">
        <v>42</v>
      </c>
      <c r="L1091" t="s">
        <v>71</v>
      </c>
      <c r="M1091" t="s">
        <v>44</v>
      </c>
      <c r="N1091">
        <v>4.8</v>
      </c>
      <c r="O1091">
        <v>5</v>
      </c>
    </row>
    <row r="1092" spans="1:15" x14ac:dyDescent="0.3">
      <c r="A1092" t="s">
        <v>2036</v>
      </c>
      <c r="B1092" t="s">
        <v>294</v>
      </c>
      <c r="C1092" t="s">
        <v>2037</v>
      </c>
      <c r="D1092" t="s">
        <v>81</v>
      </c>
      <c r="E1092" t="s">
        <v>83</v>
      </c>
      <c r="F1092" t="s">
        <v>82</v>
      </c>
      <c r="G1092" t="s">
        <v>6</v>
      </c>
      <c r="H1092">
        <v>15</v>
      </c>
      <c r="I1092">
        <v>30</v>
      </c>
      <c r="J1092">
        <v>380</v>
      </c>
      <c r="K1092" t="s">
        <v>33</v>
      </c>
      <c r="L1092" t="s">
        <v>71</v>
      </c>
      <c r="M1092" t="s">
        <v>44</v>
      </c>
      <c r="N1092">
        <v>4.5999999999999996</v>
      </c>
      <c r="O1092">
        <v>5</v>
      </c>
    </row>
    <row r="1093" spans="1:15" x14ac:dyDescent="0.3">
      <c r="A1093" t="s">
        <v>2038</v>
      </c>
      <c r="B1093" t="s">
        <v>463</v>
      </c>
      <c r="C1093" t="s">
        <v>809</v>
      </c>
      <c r="D1093" t="s">
        <v>30</v>
      </c>
      <c r="E1093" t="s">
        <v>32</v>
      </c>
      <c r="F1093" t="s">
        <v>142</v>
      </c>
      <c r="G1093" t="s">
        <v>2</v>
      </c>
      <c r="H1093">
        <v>2.4</v>
      </c>
      <c r="I1093">
        <v>12</v>
      </c>
      <c r="J1093">
        <v>56</v>
      </c>
      <c r="K1093" t="s">
        <v>102</v>
      </c>
      <c r="L1093" t="s">
        <v>78</v>
      </c>
      <c r="M1093" t="s">
        <v>44</v>
      </c>
      <c r="N1093">
        <v>4.3</v>
      </c>
      <c r="O1093">
        <v>5</v>
      </c>
    </row>
    <row r="1094" spans="1:15" x14ac:dyDescent="0.3">
      <c r="A1094" t="s">
        <v>2039</v>
      </c>
      <c r="B1094" t="s">
        <v>132</v>
      </c>
      <c r="C1094" t="s">
        <v>1091</v>
      </c>
      <c r="D1094" t="s">
        <v>158</v>
      </c>
      <c r="E1094" t="s">
        <v>334</v>
      </c>
      <c r="F1094" t="s">
        <v>319</v>
      </c>
      <c r="G1094" t="s">
        <v>7</v>
      </c>
      <c r="H1094">
        <v>15.7</v>
      </c>
      <c r="I1094">
        <v>44</v>
      </c>
      <c r="J1094">
        <v>580</v>
      </c>
      <c r="K1094" t="s">
        <v>102</v>
      </c>
      <c r="L1094" t="s">
        <v>71</v>
      </c>
      <c r="M1094" t="s">
        <v>44</v>
      </c>
      <c r="N1094">
        <v>4.3</v>
      </c>
      <c r="O1094">
        <v>4.8</v>
      </c>
    </row>
    <row r="1095" spans="1:15" x14ac:dyDescent="0.3">
      <c r="A1095" t="s">
        <v>2040</v>
      </c>
      <c r="B1095" t="s">
        <v>481</v>
      </c>
      <c r="C1095" t="s">
        <v>341</v>
      </c>
      <c r="D1095" t="s">
        <v>30</v>
      </c>
      <c r="E1095" t="s">
        <v>32</v>
      </c>
      <c r="F1095" t="s">
        <v>179</v>
      </c>
      <c r="G1095" t="s">
        <v>6</v>
      </c>
      <c r="H1095">
        <v>9.1999999999999993</v>
      </c>
      <c r="I1095">
        <v>37</v>
      </c>
      <c r="J1095">
        <v>234</v>
      </c>
      <c r="K1095" t="s">
        <v>33</v>
      </c>
      <c r="L1095" t="s">
        <v>78</v>
      </c>
      <c r="M1095" t="s">
        <v>44</v>
      </c>
      <c r="N1095">
        <v>4.8</v>
      </c>
      <c r="O1095">
        <v>4.9000000000000004</v>
      </c>
    </row>
    <row r="1096" spans="1:15" x14ac:dyDescent="0.3">
      <c r="A1096" t="s">
        <v>2041</v>
      </c>
      <c r="B1096" t="s">
        <v>562</v>
      </c>
      <c r="C1096" t="s">
        <v>2042</v>
      </c>
      <c r="D1096" t="s">
        <v>81</v>
      </c>
      <c r="E1096" t="s">
        <v>201</v>
      </c>
      <c r="F1096" t="s">
        <v>91</v>
      </c>
      <c r="G1096" t="s">
        <v>6</v>
      </c>
      <c r="H1096">
        <v>1</v>
      </c>
      <c r="I1096">
        <v>9</v>
      </c>
      <c r="J1096">
        <v>66</v>
      </c>
      <c r="K1096" t="s">
        <v>33</v>
      </c>
      <c r="L1096" t="s">
        <v>64</v>
      </c>
      <c r="M1096" t="s">
        <v>44</v>
      </c>
      <c r="N1096">
        <v>4.5999999999999996</v>
      </c>
      <c r="O1096">
        <v>4.9000000000000004</v>
      </c>
    </row>
    <row r="1097" spans="1:15" x14ac:dyDescent="0.3">
      <c r="A1097" t="s">
        <v>2043</v>
      </c>
      <c r="B1097" t="s">
        <v>254</v>
      </c>
      <c r="C1097" t="s">
        <v>2044</v>
      </c>
      <c r="D1097" t="s">
        <v>39</v>
      </c>
      <c r="E1097" t="s">
        <v>278</v>
      </c>
      <c r="F1097" t="s">
        <v>484</v>
      </c>
      <c r="G1097" t="s">
        <v>6</v>
      </c>
      <c r="H1097">
        <v>6.9</v>
      </c>
      <c r="I1097">
        <v>24</v>
      </c>
      <c r="J1097">
        <v>190</v>
      </c>
      <c r="K1097" t="s">
        <v>192</v>
      </c>
      <c r="L1097" t="s">
        <v>71</v>
      </c>
      <c r="M1097" t="s">
        <v>44</v>
      </c>
      <c r="N1097">
        <v>4.8</v>
      </c>
      <c r="O1097">
        <v>5</v>
      </c>
    </row>
    <row r="1098" spans="1:15" x14ac:dyDescent="0.3">
      <c r="A1098" t="s">
        <v>2045</v>
      </c>
      <c r="B1098" t="s">
        <v>510</v>
      </c>
      <c r="C1098" t="s">
        <v>589</v>
      </c>
      <c r="D1098" t="s">
        <v>30</v>
      </c>
      <c r="E1098" t="s">
        <v>32</v>
      </c>
      <c r="F1098" t="s">
        <v>101</v>
      </c>
      <c r="G1098" t="s">
        <v>2</v>
      </c>
      <c r="H1098">
        <v>2.2000000000000002</v>
      </c>
      <c r="I1098">
        <v>6</v>
      </c>
      <c r="J1098">
        <v>66</v>
      </c>
      <c r="K1098" t="s">
        <v>102</v>
      </c>
      <c r="L1098" t="s">
        <v>71</v>
      </c>
      <c r="M1098" t="s">
        <v>44</v>
      </c>
      <c r="N1098">
        <v>4.4000000000000004</v>
      </c>
      <c r="O1098">
        <v>4.7</v>
      </c>
    </row>
    <row r="1099" spans="1:15" x14ac:dyDescent="0.3">
      <c r="A1099" t="s">
        <v>2046</v>
      </c>
      <c r="B1099" t="s">
        <v>373</v>
      </c>
      <c r="C1099" t="s">
        <v>2047</v>
      </c>
      <c r="D1099" t="s">
        <v>68</v>
      </c>
      <c r="E1099" t="s">
        <v>69</v>
      </c>
      <c r="F1099" t="s">
        <v>195</v>
      </c>
      <c r="G1099" t="s">
        <v>6</v>
      </c>
      <c r="H1099">
        <v>11.3</v>
      </c>
      <c r="I1099">
        <v>26</v>
      </c>
      <c r="J1099">
        <v>221</v>
      </c>
      <c r="K1099" t="s">
        <v>102</v>
      </c>
      <c r="L1099" t="s">
        <v>161</v>
      </c>
      <c r="M1099" t="s">
        <v>35</v>
      </c>
      <c r="N1099">
        <v>4.7</v>
      </c>
      <c r="O1099">
        <v>4.4000000000000004</v>
      </c>
    </row>
    <row r="1100" spans="1:15" x14ac:dyDescent="0.3">
      <c r="A1100" t="s">
        <v>2048</v>
      </c>
      <c r="B1100" t="s">
        <v>303</v>
      </c>
      <c r="C1100" t="s">
        <v>2049</v>
      </c>
      <c r="D1100" t="s">
        <v>61</v>
      </c>
      <c r="E1100" t="s">
        <v>183</v>
      </c>
      <c r="F1100" t="s">
        <v>116</v>
      </c>
      <c r="G1100" t="s">
        <v>5</v>
      </c>
      <c r="H1100">
        <v>9.1</v>
      </c>
      <c r="I1100">
        <v>20</v>
      </c>
      <c r="J1100">
        <v>229</v>
      </c>
      <c r="K1100" t="s">
        <v>42</v>
      </c>
      <c r="L1100" t="s">
        <v>34</v>
      </c>
      <c r="M1100" t="s">
        <v>35</v>
      </c>
      <c r="N1100">
        <v>4.8</v>
      </c>
      <c r="O1100">
        <v>4.8</v>
      </c>
    </row>
    <row r="1101" spans="1:15" x14ac:dyDescent="0.3">
      <c r="A1101" t="s">
        <v>2050</v>
      </c>
      <c r="B1101" t="s">
        <v>853</v>
      </c>
      <c r="C1101" t="s">
        <v>2051</v>
      </c>
      <c r="D1101" t="s">
        <v>81</v>
      </c>
      <c r="E1101" t="s">
        <v>268</v>
      </c>
      <c r="F1101" t="s">
        <v>91</v>
      </c>
      <c r="G1101" t="s">
        <v>5</v>
      </c>
      <c r="H1101">
        <v>9</v>
      </c>
      <c r="I1101">
        <v>36</v>
      </c>
      <c r="J1101">
        <v>254</v>
      </c>
      <c r="K1101" t="s">
        <v>42</v>
      </c>
      <c r="L1101" t="s">
        <v>49</v>
      </c>
      <c r="M1101" t="s">
        <v>44</v>
      </c>
      <c r="N1101">
        <v>4.9000000000000004</v>
      </c>
      <c r="O1101">
        <v>4.8</v>
      </c>
    </row>
    <row r="1102" spans="1:15" x14ac:dyDescent="0.3">
      <c r="A1102" t="s">
        <v>2052</v>
      </c>
      <c r="B1102" t="s">
        <v>270</v>
      </c>
      <c r="C1102" t="s">
        <v>2053</v>
      </c>
      <c r="D1102" t="s">
        <v>53</v>
      </c>
      <c r="E1102" t="s">
        <v>54</v>
      </c>
      <c r="F1102" t="s">
        <v>221</v>
      </c>
      <c r="G1102" t="s">
        <v>6</v>
      </c>
      <c r="H1102">
        <v>11.9</v>
      </c>
      <c r="I1102">
        <v>25</v>
      </c>
      <c r="J1102">
        <v>244</v>
      </c>
      <c r="K1102" t="s">
        <v>42</v>
      </c>
      <c r="L1102" t="s">
        <v>64</v>
      </c>
      <c r="M1102" t="s">
        <v>44</v>
      </c>
      <c r="N1102">
        <v>4.0999999999999996</v>
      </c>
      <c r="O1102">
        <v>5</v>
      </c>
    </row>
    <row r="1103" spans="1:15" x14ac:dyDescent="0.3">
      <c r="A1103" t="s">
        <v>2054</v>
      </c>
      <c r="B1103" t="s">
        <v>66</v>
      </c>
      <c r="C1103" t="s">
        <v>2055</v>
      </c>
      <c r="D1103" t="s">
        <v>81</v>
      </c>
      <c r="E1103" t="s">
        <v>82</v>
      </c>
      <c r="F1103" t="s">
        <v>91</v>
      </c>
      <c r="G1103" t="s">
        <v>4</v>
      </c>
      <c r="H1103">
        <v>6.8</v>
      </c>
      <c r="I1103">
        <v>20</v>
      </c>
      <c r="J1103">
        <v>234</v>
      </c>
      <c r="K1103" t="s">
        <v>33</v>
      </c>
      <c r="L1103" t="s">
        <v>78</v>
      </c>
      <c r="M1103" t="s">
        <v>44</v>
      </c>
      <c r="N1103">
        <v>4.9000000000000004</v>
      </c>
      <c r="O1103">
        <v>4.9000000000000004</v>
      </c>
    </row>
    <row r="1104" spans="1:15" x14ac:dyDescent="0.3">
      <c r="A1104" t="s">
        <v>2056</v>
      </c>
      <c r="B1104" t="s">
        <v>114</v>
      </c>
      <c r="C1104" t="s">
        <v>2057</v>
      </c>
      <c r="D1104" t="s">
        <v>61</v>
      </c>
      <c r="E1104" t="s">
        <v>328</v>
      </c>
      <c r="F1104" t="s">
        <v>95</v>
      </c>
      <c r="G1104" t="s">
        <v>3</v>
      </c>
      <c r="H1104">
        <v>6.4</v>
      </c>
      <c r="I1104">
        <v>18</v>
      </c>
      <c r="J1104">
        <v>433</v>
      </c>
      <c r="K1104" t="s">
        <v>42</v>
      </c>
      <c r="L1104" t="s">
        <v>71</v>
      </c>
      <c r="M1104" t="s">
        <v>44</v>
      </c>
      <c r="N1104">
        <v>4.7</v>
      </c>
      <c r="O1104">
        <v>4.7</v>
      </c>
    </row>
    <row r="1105" spans="1:15" x14ac:dyDescent="0.3">
      <c r="A1105" t="s">
        <v>2058</v>
      </c>
      <c r="B1105" t="s">
        <v>468</v>
      </c>
      <c r="C1105" t="s">
        <v>1668</v>
      </c>
      <c r="D1105" t="s">
        <v>68</v>
      </c>
      <c r="E1105" t="s">
        <v>120</v>
      </c>
      <c r="F1105" t="s">
        <v>195</v>
      </c>
      <c r="G1105" t="s">
        <v>3</v>
      </c>
      <c r="H1105">
        <v>1.8</v>
      </c>
      <c r="I1105">
        <v>14</v>
      </c>
      <c r="J1105">
        <v>182</v>
      </c>
      <c r="K1105" t="s">
        <v>33</v>
      </c>
      <c r="L1105" t="s">
        <v>34</v>
      </c>
      <c r="M1105" t="s">
        <v>35</v>
      </c>
      <c r="N1105">
        <v>4.5</v>
      </c>
      <c r="O1105">
        <v>5</v>
      </c>
    </row>
    <row r="1106" spans="1:15" x14ac:dyDescent="0.3">
      <c r="A1106" t="s">
        <v>2059</v>
      </c>
      <c r="B1106" t="s">
        <v>185</v>
      </c>
      <c r="C1106" t="s">
        <v>1079</v>
      </c>
      <c r="D1106" t="s">
        <v>75</v>
      </c>
      <c r="E1106" t="s">
        <v>146</v>
      </c>
      <c r="F1106" t="s">
        <v>230</v>
      </c>
      <c r="G1106" t="s">
        <v>2</v>
      </c>
      <c r="H1106">
        <v>8.8000000000000007</v>
      </c>
      <c r="I1106">
        <v>23</v>
      </c>
      <c r="J1106">
        <v>153</v>
      </c>
      <c r="K1106" t="s">
        <v>375</v>
      </c>
      <c r="L1106" t="s">
        <v>43</v>
      </c>
      <c r="M1106" t="s">
        <v>44</v>
      </c>
      <c r="N1106">
        <v>4.8</v>
      </c>
      <c r="O1106">
        <v>5</v>
      </c>
    </row>
    <row r="1107" spans="1:15" x14ac:dyDescent="0.3">
      <c r="A1107" t="s">
        <v>2060</v>
      </c>
      <c r="B1107" t="s">
        <v>189</v>
      </c>
      <c r="C1107" t="s">
        <v>1497</v>
      </c>
      <c r="D1107" t="s">
        <v>39</v>
      </c>
      <c r="E1107" t="s">
        <v>356</v>
      </c>
      <c r="F1107" t="s">
        <v>155</v>
      </c>
      <c r="G1107" t="s">
        <v>6</v>
      </c>
      <c r="H1107">
        <v>9.1999999999999993</v>
      </c>
      <c r="I1107">
        <v>22</v>
      </c>
      <c r="J1107">
        <v>198</v>
      </c>
      <c r="K1107" t="s">
        <v>33</v>
      </c>
      <c r="L1107" t="s">
        <v>49</v>
      </c>
      <c r="M1107" t="s">
        <v>44</v>
      </c>
      <c r="N1107">
        <v>4.5999999999999996</v>
      </c>
      <c r="O1107">
        <v>4.5999999999999996</v>
      </c>
    </row>
    <row r="1108" spans="1:15" x14ac:dyDescent="0.3">
      <c r="A1108" t="s">
        <v>2061</v>
      </c>
      <c r="B1108" t="s">
        <v>853</v>
      </c>
      <c r="C1108" t="s">
        <v>757</v>
      </c>
      <c r="D1108" t="s">
        <v>61</v>
      </c>
      <c r="E1108" t="s">
        <v>191</v>
      </c>
      <c r="F1108" t="s">
        <v>116</v>
      </c>
      <c r="G1108" t="s">
        <v>4</v>
      </c>
      <c r="H1108">
        <v>2.9</v>
      </c>
      <c r="I1108">
        <v>12</v>
      </c>
      <c r="J1108">
        <v>136</v>
      </c>
      <c r="K1108" t="s">
        <v>33</v>
      </c>
      <c r="L1108" t="s">
        <v>49</v>
      </c>
      <c r="M1108" t="s">
        <v>44</v>
      </c>
      <c r="N1108">
        <v>5</v>
      </c>
      <c r="O1108">
        <v>4.7</v>
      </c>
    </row>
    <row r="1109" spans="1:15" x14ac:dyDescent="0.3">
      <c r="A1109" t="s">
        <v>2062</v>
      </c>
      <c r="B1109" t="s">
        <v>28</v>
      </c>
      <c r="C1109" t="s">
        <v>194</v>
      </c>
      <c r="D1109" t="s">
        <v>53</v>
      </c>
      <c r="E1109" t="s">
        <v>221</v>
      </c>
      <c r="F1109" t="s">
        <v>236</v>
      </c>
      <c r="G1109" t="s">
        <v>2</v>
      </c>
      <c r="H1109">
        <v>1.4</v>
      </c>
      <c r="I1109">
        <v>5</v>
      </c>
      <c r="J1109">
        <v>78</v>
      </c>
      <c r="K1109" t="s">
        <v>42</v>
      </c>
      <c r="L1109" t="s">
        <v>71</v>
      </c>
      <c r="M1109" t="s">
        <v>44</v>
      </c>
      <c r="N1109">
        <v>4.9000000000000004</v>
      </c>
      <c r="O1109">
        <v>4.5</v>
      </c>
    </row>
    <row r="1110" spans="1:15" x14ac:dyDescent="0.3">
      <c r="A1110" t="s">
        <v>2063</v>
      </c>
      <c r="B1110" t="s">
        <v>197</v>
      </c>
      <c r="C1110" t="s">
        <v>1937</v>
      </c>
      <c r="D1110" t="s">
        <v>158</v>
      </c>
      <c r="E1110" t="s">
        <v>283</v>
      </c>
      <c r="F1110" t="s">
        <v>284</v>
      </c>
      <c r="G1110" t="s">
        <v>2</v>
      </c>
      <c r="H1110">
        <v>11.4</v>
      </c>
      <c r="I1110">
        <v>34</v>
      </c>
      <c r="J1110">
        <v>227</v>
      </c>
      <c r="K1110" t="s">
        <v>102</v>
      </c>
      <c r="L1110" t="s">
        <v>71</v>
      </c>
      <c r="M1110" t="s">
        <v>44</v>
      </c>
      <c r="N1110">
        <v>4.5999999999999996</v>
      </c>
      <c r="O1110">
        <v>5</v>
      </c>
    </row>
    <row r="1111" spans="1:15" x14ac:dyDescent="0.3">
      <c r="A1111" t="s">
        <v>2064</v>
      </c>
      <c r="B1111" t="s">
        <v>450</v>
      </c>
      <c r="C1111" t="s">
        <v>1274</v>
      </c>
      <c r="D1111" t="s">
        <v>61</v>
      </c>
      <c r="E1111" t="s">
        <v>191</v>
      </c>
      <c r="F1111" t="s">
        <v>62</v>
      </c>
      <c r="G1111" t="s">
        <v>4</v>
      </c>
      <c r="H1111">
        <v>7</v>
      </c>
      <c r="I1111">
        <v>19</v>
      </c>
      <c r="J1111">
        <v>238</v>
      </c>
      <c r="K1111" t="s">
        <v>42</v>
      </c>
      <c r="L1111" t="s">
        <v>78</v>
      </c>
      <c r="M1111" t="s">
        <v>44</v>
      </c>
      <c r="N1111">
        <v>4.4000000000000004</v>
      </c>
      <c r="O1111">
        <v>5</v>
      </c>
    </row>
    <row r="1112" spans="1:15" x14ac:dyDescent="0.3">
      <c r="A1112" t="s">
        <v>2065</v>
      </c>
      <c r="B1112" t="s">
        <v>254</v>
      </c>
      <c r="C1112" t="s">
        <v>2066</v>
      </c>
      <c r="D1112" t="s">
        <v>106</v>
      </c>
      <c r="E1112" t="s">
        <v>187</v>
      </c>
      <c r="F1112" t="s">
        <v>290</v>
      </c>
      <c r="G1112" t="s">
        <v>5</v>
      </c>
      <c r="H1112">
        <v>3.7</v>
      </c>
      <c r="I1112">
        <v>10</v>
      </c>
      <c r="J1112">
        <v>138</v>
      </c>
      <c r="K1112" t="s">
        <v>42</v>
      </c>
      <c r="L1112" t="s">
        <v>161</v>
      </c>
      <c r="M1112" t="s">
        <v>35</v>
      </c>
      <c r="N1112">
        <v>4.0999999999999996</v>
      </c>
      <c r="O1112">
        <v>4.5999999999999996</v>
      </c>
    </row>
    <row r="1113" spans="1:15" x14ac:dyDescent="0.3">
      <c r="A1113" t="s">
        <v>2067</v>
      </c>
      <c r="B1113" t="s">
        <v>349</v>
      </c>
      <c r="C1113" t="s">
        <v>2068</v>
      </c>
      <c r="D1113" t="s">
        <v>53</v>
      </c>
      <c r="E1113" t="s">
        <v>55</v>
      </c>
      <c r="F1113" t="s">
        <v>54</v>
      </c>
      <c r="G1113" t="s">
        <v>5</v>
      </c>
      <c r="H1113">
        <v>7.7</v>
      </c>
      <c r="I1113">
        <v>25</v>
      </c>
      <c r="J1113">
        <v>213</v>
      </c>
      <c r="K1113" t="s">
        <v>33</v>
      </c>
      <c r="L1113" t="s">
        <v>64</v>
      </c>
      <c r="M1113" t="s">
        <v>44</v>
      </c>
      <c r="N1113">
        <v>4.7</v>
      </c>
      <c r="O1113">
        <v>4.8</v>
      </c>
    </row>
    <row r="1114" spans="1:15" x14ac:dyDescent="0.3">
      <c r="A1114" t="s">
        <v>2069</v>
      </c>
      <c r="B1114" t="s">
        <v>458</v>
      </c>
      <c r="C1114" t="s">
        <v>2070</v>
      </c>
      <c r="D1114" t="s">
        <v>39</v>
      </c>
      <c r="E1114" t="s">
        <v>41</v>
      </c>
      <c r="F1114" t="s">
        <v>484</v>
      </c>
      <c r="G1114" t="s">
        <v>2</v>
      </c>
      <c r="H1114">
        <v>3.8</v>
      </c>
      <c r="I1114">
        <v>13</v>
      </c>
      <c r="J1114">
        <v>43</v>
      </c>
      <c r="K1114" t="s">
        <v>102</v>
      </c>
      <c r="L1114" t="s">
        <v>64</v>
      </c>
      <c r="M1114" t="s">
        <v>44</v>
      </c>
      <c r="N1114">
        <v>4.7</v>
      </c>
      <c r="O1114">
        <v>4.8</v>
      </c>
    </row>
    <row r="1115" spans="1:15" x14ac:dyDescent="0.3">
      <c r="A1115" t="s">
        <v>2071</v>
      </c>
      <c r="B1115" t="s">
        <v>208</v>
      </c>
      <c r="C1115" t="s">
        <v>2072</v>
      </c>
      <c r="D1115" t="s">
        <v>158</v>
      </c>
      <c r="E1115" t="s">
        <v>159</v>
      </c>
      <c r="F1115" t="s">
        <v>160</v>
      </c>
      <c r="G1115" t="s">
        <v>6</v>
      </c>
      <c r="H1115">
        <v>7.9</v>
      </c>
      <c r="I1115">
        <v>18</v>
      </c>
      <c r="J1115">
        <v>189</v>
      </c>
      <c r="K1115" t="s">
        <v>102</v>
      </c>
      <c r="L1115" t="s">
        <v>78</v>
      </c>
      <c r="M1115" t="s">
        <v>44</v>
      </c>
      <c r="N1115">
        <v>4.8</v>
      </c>
      <c r="O1115">
        <v>4.8</v>
      </c>
    </row>
    <row r="1116" spans="1:15" x14ac:dyDescent="0.3">
      <c r="A1116" t="s">
        <v>2073</v>
      </c>
      <c r="B1116" t="s">
        <v>370</v>
      </c>
      <c r="C1116" t="s">
        <v>2049</v>
      </c>
      <c r="D1116" t="s">
        <v>39</v>
      </c>
      <c r="E1116" t="s">
        <v>484</v>
      </c>
      <c r="F1116" t="s">
        <v>356</v>
      </c>
      <c r="G1116" t="s">
        <v>6</v>
      </c>
      <c r="H1116">
        <v>11.3</v>
      </c>
      <c r="I1116">
        <v>34</v>
      </c>
      <c r="J1116">
        <v>232</v>
      </c>
      <c r="K1116" t="s">
        <v>192</v>
      </c>
      <c r="L1116" t="s">
        <v>34</v>
      </c>
      <c r="M1116" t="s">
        <v>35</v>
      </c>
      <c r="N1116">
        <v>4.5999999999999996</v>
      </c>
      <c r="O1116">
        <v>4.8</v>
      </c>
    </row>
    <row r="1117" spans="1:15" x14ac:dyDescent="0.3">
      <c r="A1117" t="s">
        <v>2074</v>
      </c>
      <c r="B1117" t="s">
        <v>28</v>
      </c>
      <c r="C1117" t="s">
        <v>1813</v>
      </c>
      <c r="D1117" t="s">
        <v>158</v>
      </c>
      <c r="E1117" t="s">
        <v>262</v>
      </c>
      <c r="F1117" t="s">
        <v>316</v>
      </c>
      <c r="G1117" t="s">
        <v>6</v>
      </c>
      <c r="H1117">
        <v>6.1</v>
      </c>
      <c r="I1117">
        <v>26</v>
      </c>
      <c r="J1117">
        <v>192</v>
      </c>
      <c r="K1117" t="s">
        <v>102</v>
      </c>
      <c r="L1117" t="s">
        <v>71</v>
      </c>
      <c r="M1117" t="s">
        <v>44</v>
      </c>
      <c r="N1117">
        <v>4.5</v>
      </c>
      <c r="O1117">
        <v>4.4000000000000004</v>
      </c>
    </row>
    <row r="1118" spans="1:15" x14ac:dyDescent="0.3">
      <c r="A1118" t="s">
        <v>2075</v>
      </c>
      <c r="B1118" t="s">
        <v>370</v>
      </c>
      <c r="C1118" t="s">
        <v>471</v>
      </c>
      <c r="D1118" t="s">
        <v>39</v>
      </c>
      <c r="E1118" t="s">
        <v>155</v>
      </c>
      <c r="F1118" t="s">
        <v>48</v>
      </c>
      <c r="G1118" t="s">
        <v>6</v>
      </c>
      <c r="H1118">
        <v>4.5999999999999996</v>
      </c>
      <c r="I1118">
        <v>8</v>
      </c>
      <c r="J1118">
        <v>184</v>
      </c>
      <c r="K1118" t="s">
        <v>33</v>
      </c>
      <c r="L1118" t="s">
        <v>71</v>
      </c>
      <c r="M1118" t="s">
        <v>44</v>
      </c>
      <c r="N1118">
        <v>4.8</v>
      </c>
      <c r="O1118">
        <v>4.9000000000000004</v>
      </c>
    </row>
    <row r="1119" spans="1:15" x14ac:dyDescent="0.3">
      <c r="A1119" t="s">
        <v>2076</v>
      </c>
      <c r="B1119" t="s">
        <v>853</v>
      </c>
      <c r="C1119" t="s">
        <v>1293</v>
      </c>
      <c r="D1119" t="s">
        <v>30</v>
      </c>
      <c r="E1119" t="s">
        <v>112</v>
      </c>
      <c r="F1119" t="s">
        <v>32</v>
      </c>
      <c r="G1119" t="s">
        <v>6</v>
      </c>
      <c r="H1119">
        <v>3</v>
      </c>
      <c r="I1119">
        <v>5</v>
      </c>
      <c r="J1119">
        <v>130</v>
      </c>
      <c r="K1119" t="s">
        <v>102</v>
      </c>
      <c r="L1119" t="s">
        <v>71</v>
      </c>
      <c r="M1119" t="s">
        <v>44</v>
      </c>
      <c r="N1119">
        <v>4.5999999999999996</v>
      </c>
      <c r="O1119">
        <v>4.8</v>
      </c>
    </row>
    <row r="1120" spans="1:15" x14ac:dyDescent="0.3">
      <c r="A1120" t="s">
        <v>2077</v>
      </c>
      <c r="B1120" t="s">
        <v>303</v>
      </c>
      <c r="C1120" t="s">
        <v>1098</v>
      </c>
      <c r="D1120" t="s">
        <v>39</v>
      </c>
      <c r="E1120" t="s">
        <v>48</v>
      </c>
      <c r="F1120" t="s">
        <v>278</v>
      </c>
      <c r="G1120" t="s">
        <v>4</v>
      </c>
      <c r="H1120">
        <v>4.2</v>
      </c>
      <c r="I1120">
        <v>14</v>
      </c>
      <c r="J1120">
        <v>211</v>
      </c>
      <c r="K1120" t="s">
        <v>42</v>
      </c>
      <c r="L1120" t="s">
        <v>78</v>
      </c>
      <c r="M1120" t="s">
        <v>44</v>
      </c>
      <c r="N1120">
        <v>4.9000000000000004</v>
      </c>
      <c r="O1120">
        <v>5</v>
      </c>
    </row>
    <row r="1121" spans="1:15" x14ac:dyDescent="0.3">
      <c r="A1121" t="s">
        <v>2078</v>
      </c>
      <c r="B1121" t="s">
        <v>128</v>
      </c>
      <c r="C1121" t="s">
        <v>824</v>
      </c>
      <c r="D1121" t="s">
        <v>68</v>
      </c>
      <c r="E1121" t="s">
        <v>210</v>
      </c>
      <c r="F1121" t="s">
        <v>172</v>
      </c>
      <c r="G1121" t="s">
        <v>6</v>
      </c>
      <c r="H1121">
        <v>16</v>
      </c>
      <c r="I1121">
        <v>38</v>
      </c>
      <c r="J1121">
        <v>267</v>
      </c>
      <c r="K1121" t="s">
        <v>102</v>
      </c>
      <c r="L1121" t="s">
        <v>78</v>
      </c>
      <c r="M1121" t="s">
        <v>44</v>
      </c>
      <c r="N1121">
        <v>4.9000000000000004</v>
      </c>
      <c r="O1121">
        <v>5</v>
      </c>
    </row>
    <row r="1122" spans="1:15" x14ac:dyDescent="0.3">
      <c r="A1122" t="s">
        <v>2079</v>
      </c>
      <c r="B1122" t="s">
        <v>441</v>
      </c>
      <c r="C1122" t="s">
        <v>1488</v>
      </c>
      <c r="D1122" t="s">
        <v>61</v>
      </c>
      <c r="E1122" t="s">
        <v>63</v>
      </c>
      <c r="F1122" t="s">
        <v>183</v>
      </c>
      <c r="G1122" t="s">
        <v>2</v>
      </c>
      <c r="H1122">
        <v>4.2</v>
      </c>
      <c r="I1122">
        <v>5</v>
      </c>
      <c r="J1122">
        <v>94</v>
      </c>
      <c r="K1122" t="s">
        <v>42</v>
      </c>
      <c r="L1122" t="s">
        <v>64</v>
      </c>
      <c r="M1122" t="s">
        <v>44</v>
      </c>
      <c r="N1122">
        <v>5</v>
      </c>
      <c r="O1122">
        <v>4.8</v>
      </c>
    </row>
    <row r="1123" spans="1:15" x14ac:dyDescent="0.3">
      <c r="A1123" t="s">
        <v>2080</v>
      </c>
      <c r="B1123" t="s">
        <v>232</v>
      </c>
      <c r="C1123" t="s">
        <v>2081</v>
      </c>
      <c r="D1123" t="s">
        <v>81</v>
      </c>
      <c r="E1123" t="s">
        <v>268</v>
      </c>
      <c r="F1123" t="s">
        <v>351</v>
      </c>
      <c r="G1123" t="s">
        <v>2</v>
      </c>
      <c r="H1123">
        <v>1.5</v>
      </c>
      <c r="I1123">
        <v>10</v>
      </c>
      <c r="J1123">
        <v>71</v>
      </c>
      <c r="K1123" t="s">
        <v>102</v>
      </c>
      <c r="L1123" t="s">
        <v>78</v>
      </c>
      <c r="M1123" t="s">
        <v>44</v>
      </c>
      <c r="N1123">
        <v>4.4000000000000004</v>
      </c>
      <c r="O1123">
        <v>4.3</v>
      </c>
    </row>
    <row r="1124" spans="1:15" x14ac:dyDescent="0.3">
      <c r="A1124" t="s">
        <v>2082</v>
      </c>
      <c r="B1124" t="s">
        <v>122</v>
      </c>
      <c r="C1124" t="s">
        <v>2083</v>
      </c>
      <c r="D1124" t="s">
        <v>68</v>
      </c>
      <c r="E1124" t="s">
        <v>70</v>
      </c>
      <c r="F1124" t="s">
        <v>210</v>
      </c>
      <c r="G1124" t="s">
        <v>5</v>
      </c>
      <c r="H1124">
        <v>5.6</v>
      </c>
      <c r="I1124">
        <v>11</v>
      </c>
      <c r="J1124">
        <v>151</v>
      </c>
      <c r="K1124" t="s">
        <v>33</v>
      </c>
      <c r="L1124" t="s">
        <v>57</v>
      </c>
      <c r="M1124" t="s">
        <v>35</v>
      </c>
      <c r="N1124">
        <v>4.9000000000000004</v>
      </c>
      <c r="O1124">
        <v>4.3</v>
      </c>
    </row>
    <row r="1125" spans="1:15" x14ac:dyDescent="0.3">
      <c r="A1125" t="s">
        <v>2084</v>
      </c>
      <c r="B1125" t="s">
        <v>463</v>
      </c>
      <c r="C1125" t="s">
        <v>905</v>
      </c>
      <c r="D1125" t="s">
        <v>39</v>
      </c>
      <c r="E1125" t="s">
        <v>356</v>
      </c>
      <c r="F1125" t="s">
        <v>278</v>
      </c>
      <c r="G1125" t="s">
        <v>4</v>
      </c>
      <c r="H1125">
        <v>2.6</v>
      </c>
      <c r="I1125">
        <v>11</v>
      </c>
      <c r="J1125">
        <v>149</v>
      </c>
      <c r="K1125" t="s">
        <v>33</v>
      </c>
      <c r="L1125" t="s">
        <v>78</v>
      </c>
      <c r="M1125" t="s">
        <v>44</v>
      </c>
      <c r="N1125">
        <v>4.8</v>
      </c>
      <c r="O1125">
        <v>5</v>
      </c>
    </row>
    <row r="1126" spans="1:15" x14ac:dyDescent="0.3">
      <c r="A1126" t="s">
        <v>2085</v>
      </c>
      <c r="B1126" t="s">
        <v>450</v>
      </c>
      <c r="C1126" t="s">
        <v>691</v>
      </c>
      <c r="D1126" t="s">
        <v>106</v>
      </c>
      <c r="E1126" t="s">
        <v>290</v>
      </c>
      <c r="F1126" t="s">
        <v>187</v>
      </c>
      <c r="G1126" t="s">
        <v>6</v>
      </c>
      <c r="H1126">
        <v>5.6</v>
      </c>
      <c r="I1126">
        <v>15</v>
      </c>
      <c r="J1126">
        <v>155</v>
      </c>
      <c r="K1126" t="s">
        <v>192</v>
      </c>
      <c r="L1126" t="s">
        <v>43</v>
      </c>
      <c r="M1126" t="s">
        <v>44</v>
      </c>
      <c r="N1126">
        <v>4.4000000000000004</v>
      </c>
      <c r="O1126">
        <v>4.9000000000000004</v>
      </c>
    </row>
    <row r="1127" spans="1:15" x14ac:dyDescent="0.3">
      <c r="A1127" t="s">
        <v>2086</v>
      </c>
      <c r="B1127" t="s">
        <v>463</v>
      </c>
      <c r="C1127" t="s">
        <v>517</v>
      </c>
      <c r="D1127" t="s">
        <v>68</v>
      </c>
      <c r="E1127" t="s">
        <v>70</v>
      </c>
      <c r="F1127" t="s">
        <v>172</v>
      </c>
      <c r="G1127" t="s">
        <v>7</v>
      </c>
      <c r="H1127">
        <v>4.0999999999999996</v>
      </c>
      <c r="I1127">
        <v>13</v>
      </c>
      <c r="J1127">
        <v>190</v>
      </c>
      <c r="K1127" t="s">
        <v>33</v>
      </c>
      <c r="L1127" t="s">
        <v>64</v>
      </c>
      <c r="M1127" t="s">
        <v>44</v>
      </c>
      <c r="N1127">
        <v>5</v>
      </c>
      <c r="O1127">
        <v>4.5999999999999996</v>
      </c>
    </row>
    <row r="1128" spans="1:15" x14ac:dyDescent="0.3">
      <c r="A1128" t="s">
        <v>2087</v>
      </c>
      <c r="B1128" t="s">
        <v>232</v>
      </c>
      <c r="C1128" t="s">
        <v>85</v>
      </c>
      <c r="D1128" t="s">
        <v>61</v>
      </c>
      <c r="E1128" t="s">
        <v>191</v>
      </c>
      <c r="F1128" t="s">
        <v>63</v>
      </c>
      <c r="G1128" t="s">
        <v>2</v>
      </c>
      <c r="H1128">
        <v>3.3</v>
      </c>
      <c r="I1128">
        <v>13</v>
      </c>
      <c r="J1128">
        <v>86</v>
      </c>
      <c r="K1128" t="s">
        <v>102</v>
      </c>
      <c r="L1128" t="s">
        <v>71</v>
      </c>
      <c r="M1128" t="s">
        <v>44</v>
      </c>
      <c r="N1128">
        <v>5</v>
      </c>
      <c r="O1128">
        <v>4.5</v>
      </c>
    </row>
    <row r="1129" spans="1:15" x14ac:dyDescent="0.3">
      <c r="A1129" t="s">
        <v>2088</v>
      </c>
      <c r="B1129" t="s">
        <v>228</v>
      </c>
      <c r="C1129" t="s">
        <v>2089</v>
      </c>
      <c r="D1129" t="s">
        <v>30</v>
      </c>
      <c r="E1129" t="s">
        <v>138</v>
      </c>
      <c r="F1129" t="s">
        <v>101</v>
      </c>
      <c r="G1129" t="s">
        <v>7</v>
      </c>
      <c r="H1129">
        <v>6.4</v>
      </c>
      <c r="I1129">
        <v>23</v>
      </c>
      <c r="J1129">
        <v>214</v>
      </c>
      <c r="K1129" t="s">
        <v>42</v>
      </c>
      <c r="L1129" t="s">
        <v>49</v>
      </c>
      <c r="M1129" t="s">
        <v>44</v>
      </c>
      <c r="N1129">
        <v>4.5</v>
      </c>
      <c r="O1129">
        <v>4.5999999999999996</v>
      </c>
    </row>
    <row r="1130" spans="1:15" x14ac:dyDescent="0.3">
      <c r="A1130" t="s">
        <v>2090</v>
      </c>
      <c r="B1130" t="s">
        <v>246</v>
      </c>
      <c r="C1130" t="s">
        <v>115</v>
      </c>
      <c r="D1130" t="s">
        <v>158</v>
      </c>
      <c r="E1130" t="s">
        <v>316</v>
      </c>
      <c r="F1130" t="s">
        <v>262</v>
      </c>
      <c r="G1130" t="s">
        <v>2</v>
      </c>
      <c r="H1130">
        <v>5.0999999999999996</v>
      </c>
      <c r="I1130">
        <v>16</v>
      </c>
      <c r="J1130">
        <v>115</v>
      </c>
      <c r="K1130" t="s">
        <v>33</v>
      </c>
      <c r="L1130" t="s">
        <v>71</v>
      </c>
      <c r="M1130" t="s">
        <v>44</v>
      </c>
      <c r="N1130">
        <v>5</v>
      </c>
      <c r="O1130">
        <v>5</v>
      </c>
    </row>
    <row r="1131" spans="1:15" x14ac:dyDescent="0.3">
      <c r="A1131" t="s">
        <v>2091</v>
      </c>
      <c r="B1131" t="s">
        <v>218</v>
      </c>
      <c r="C1131" t="s">
        <v>479</v>
      </c>
      <c r="D1131" t="s">
        <v>81</v>
      </c>
      <c r="E1131" t="s">
        <v>83</v>
      </c>
      <c r="F1131" t="s">
        <v>201</v>
      </c>
      <c r="G1131" t="s">
        <v>2</v>
      </c>
      <c r="H1131">
        <v>7.5</v>
      </c>
      <c r="I1131">
        <v>12</v>
      </c>
      <c r="J1131">
        <v>117</v>
      </c>
      <c r="K1131" t="s">
        <v>42</v>
      </c>
      <c r="L1131" t="s">
        <v>78</v>
      </c>
      <c r="M1131" t="s">
        <v>44</v>
      </c>
      <c r="N1131">
        <v>4.8</v>
      </c>
      <c r="O1131">
        <v>5</v>
      </c>
    </row>
    <row r="1132" spans="1:15" x14ac:dyDescent="0.3">
      <c r="A1132" t="s">
        <v>2092</v>
      </c>
      <c r="B1132" t="s">
        <v>114</v>
      </c>
      <c r="C1132" t="s">
        <v>2093</v>
      </c>
      <c r="D1132" t="s">
        <v>68</v>
      </c>
      <c r="E1132" t="s">
        <v>120</v>
      </c>
      <c r="F1132" t="s">
        <v>172</v>
      </c>
      <c r="G1132" t="s">
        <v>6</v>
      </c>
      <c r="H1132">
        <v>4.2</v>
      </c>
      <c r="I1132">
        <v>14</v>
      </c>
      <c r="J1132">
        <v>146</v>
      </c>
      <c r="K1132" t="s">
        <v>42</v>
      </c>
      <c r="L1132" t="s">
        <v>78</v>
      </c>
      <c r="M1132" t="s">
        <v>44</v>
      </c>
      <c r="N1132">
        <v>4.8</v>
      </c>
      <c r="O1132">
        <v>4.7</v>
      </c>
    </row>
    <row r="1133" spans="1:15" x14ac:dyDescent="0.3">
      <c r="A1133" t="s">
        <v>2094</v>
      </c>
      <c r="B1133" t="s">
        <v>228</v>
      </c>
      <c r="C1133" t="s">
        <v>1793</v>
      </c>
      <c r="D1133" t="s">
        <v>68</v>
      </c>
      <c r="E1133" t="s">
        <v>150</v>
      </c>
      <c r="F1133" t="s">
        <v>210</v>
      </c>
      <c r="G1133" t="s">
        <v>6</v>
      </c>
      <c r="H1133">
        <v>2.5</v>
      </c>
      <c r="I1133">
        <v>11</v>
      </c>
      <c r="J1133">
        <v>124</v>
      </c>
      <c r="K1133" t="s">
        <v>33</v>
      </c>
      <c r="L1133" t="s">
        <v>64</v>
      </c>
      <c r="M1133" t="s">
        <v>44</v>
      </c>
      <c r="N1133">
        <v>4.0999999999999996</v>
      </c>
      <c r="O1133">
        <v>4.7</v>
      </c>
    </row>
    <row r="1134" spans="1:15" x14ac:dyDescent="0.3">
      <c r="A1134" t="s">
        <v>2095</v>
      </c>
      <c r="B1134" t="s">
        <v>181</v>
      </c>
      <c r="C1134" t="s">
        <v>1657</v>
      </c>
      <c r="D1134" t="s">
        <v>39</v>
      </c>
      <c r="E1134" t="s">
        <v>154</v>
      </c>
      <c r="F1134" t="s">
        <v>356</v>
      </c>
      <c r="G1134" t="s">
        <v>2</v>
      </c>
      <c r="H1134">
        <v>2.6</v>
      </c>
      <c r="I1134">
        <v>11</v>
      </c>
      <c r="J1134">
        <v>65</v>
      </c>
      <c r="K1134" t="s">
        <v>102</v>
      </c>
      <c r="L1134" t="s">
        <v>57</v>
      </c>
      <c r="M1134" t="s">
        <v>35</v>
      </c>
      <c r="N1134">
        <v>4.7</v>
      </c>
      <c r="O1134">
        <v>4.5999999999999996</v>
      </c>
    </row>
    <row r="1135" spans="1:15" x14ac:dyDescent="0.3">
      <c r="A1135" t="s">
        <v>2096</v>
      </c>
      <c r="B1135" t="s">
        <v>59</v>
      </c>
      <c r="C1135" t="s">
        <v>749</v>
      </c>
      <c r="D1135" t="s">
        <v>61</v>
      </c>
      <c r="E1135" t="s">
        <v>63</v>
      </c>
      <c r="F1135" t="s">
        <v>191</v>
      </c>
      <c r="G1135" t="s">
        <v>2</v>
      </c>
      <c r="H1135">
        <v>1.7</v>
      </c>
      <c r="I1135">
        <v>8</v>
      </c>
      <c r="J1135">
        <v>30</v>
      </c>
      <c r="K1135" t="s">
        <v>33</v>
      </c>
      <c r="L1135" t="s">
        <v>64</v>
      </c>
      <c r="M1135" t="s">
        <v>44</v>
      </c>
      <c r="N1135">
        <v>4.8</v>
      </c>
      <c r="O1135">
        <v>4.8</v>
      </c>
    </row>
    <row r="1136" spans="1:15" x14ac:dyDescent="0.3">
      <c r="A1136" t="s">
        <v>2097</v>
      </c>
      <c r="B1136" t="s">
        <v>140</v>
      </c>
      <c r="C1136" t="s">
        <v>2098</v>
      </c>
      <c r="D1136" t="s">
        <v>30</v>
      </c>
      <c r="E1136" t="s">
        <v>138</v>
      </c>
      <c r="F1136" t="s">
        <v>101</v>
      </c>
      <c r="G1136" t="s">
        <v>6</v>
      </c>
      <c r="H1136">
        <v>13.8</v>
      </c>
      <c r="I1136">
        <v>48</v>
      </c>
      <c r="J1136">
        <v>346</v>
      </c>
      <c r="K1136" t="s">
        <v>102</v>
      </c>
      <c r="L1136" t="s">
        <v>43</v>
      </c>
      <c r="M1136" t="s">
        <v>44</v>
      </c>
      <c r="N1136">
        <v>5</v>
      </c>
      <c r="O1136">
        <v>4.5</v>
      </c>
    </row>
    <row r="1137" spans="1:15" x14ac:dyDescent="0.3">
      <c r="A1137" t="s">
        <v>2099</v>
      </c>
      <c r="B1137" t="s">
        <v>104</v>
      </c>
      <c r="C1137" t="s">
        <v>471</v>
      </c>
      <c r="D1137" t="s">
        <v>53</v>
      </c>
      <c r="E1137" t="s">
        <v>515</v>
      </c>
      <c r="F1137" t="s">
        <v>221</v>
      </c>
      <c r="G1137" t="s">
        <v>4</v>
      </c>
      <c r="H1137">
        <v>5.3</v>
      </c>
      <c r="I1137">
        <v>17</v>
      </c>
      <c r="J1137">
        <v>303</v>
      </c>
      <c r="K1137" t="s">
        <v>102</v>
      </c>
      <c r="L1137" t="s">
        <v>71</v>
      </c>
      <c r="M1137" t="s">
        <v>44</v>
      </c>
      <c r="N1137">
        <v>4.7</v>
      </c>
      <c r="O1137">
        <v>4.7</v>
      </c>
    </row>
    <row r="1138" spans="1:15" x14ac:dyDescent="0.3">
      <c r="A1138" t="s">
        <v>2100</v>
      </c>
      <c r="B1138" t="s">
        <v>128</v>
      </c>
      <c r="C1138" t="s">
        <v>1201</v>
      </c>
      <c r="D1138" t="s">
        <v>75</v>
      </c>
      <c r="E1138" t="s">
        <v>313</v>
      </c>
      <c r="F1138" t="s">
        <v>239</v>
      </c>
      <c r="G1138" t="s">
        <v>6</v>
      </c>
      <c r="H1138">
        <v>12.8</v>
      </c>
      <c r="I1138">
        <v>28</v>
      </c>
      <c r="J1138">
        <v>290</v>
      </c>
      <c r="K1138" t="s">
        <v>56</v>
      </c>
      <c r="L1138" t="s">
        <v>64</v>
      </c>
      <c r="M1138" t="s">
        <v>44</v>
      </c>
      <c r="N1138">
        <v>4.5</v>
      </c>
      <c r="O1138">
        <v>4.9000000000000004</v>
      </c>
    </row>
    <row r="1139" spans="1:15" x14ac:dyDescent="0.3">
      <c r="A1139" t="s">
        <v>2101</v>
      </c>
      <c r="B1139" t="s">
        <v>273</v>
      </c>
      <c r="C1139" t="s">
        <v>2102</v>
      </c>
      <c r="D1139" t="s">
        <v>53</v>
      </c>
      <c r="E1139" t="s">
        <v>236</v>
      </c>
      <c r="F1139" t="s">
        <v>55</v>
      </c>
      <c r="G1139" t="s">
        <v>6</v>
      </c>
      <c r="H1139">
        <v>2.4</v>
      </c>
      <c r="I1139">
        <v>6</v>
      </c>
      <c r="J1139">
        <v>107</v>
      </c>
      <c r="K1139" t="s">
        <v>192</v>
      </c>
      <c r="L1139" t="s">
        <v>64</v>
      </c>
      <c r="M1139" t="s">
        <v>44</v>
      </c>
      <c r="N1139">
        <v>4.3</v>
      </c>
      <c r="O1139">
        <v>5</v>
      </c>
    </row>
    <row r="1140" spans="1:15" x14ac:dyDescent="0.3">
      <c r="A1140" t="s">
        <v>2103</v>
      </c>
      <c r="B1140" t="s">
        <v>403</v>
      </c>
      <c r="C1140" t="s">
        <v>500</v>
      </c>
      <c r="D1140" t="s">
        <v>39</v>
      </c>
      <c r="E1140" t="s">
        <v>48</v>
      </c>
      <c r="F1140" t="s">
        <v>155</v>
      </c>
      <c r="G1140" t="s">
        <v>4</v>
      </c>
      <c r="H1140">
        <v>11.2</v>
      </c>
      <c r="I1140">
        <v>37</v>
      </c>
      <c r="J1140">
        <v>425</v>
      </c>
      <c r="K1140" t="s">
        <v>42</v>
      </c>
      <c r="L1140" t="s">
        <v>64</v>
      </c>
      <c r="M1140" t="s">
        <v>44</v>
      </c>
      <c r="N1140">
        <v>4.5</v>
      </c>
      <c r="O1140">
        <v>4.9000000000000004</v>
      </c>
    </row>
    <row r="1141" spans="1:15" x14ac:dyDescent="0.3">
      <c r="A1141" t="s">
        <v>2104</v>
      </c>
      <c r="B1141" t="s">
        <v>144</v>
      </c>
      <c r="C1141" t="s">
        <v>1106</v>
      </c>
      <c r="D1141" t="s">
        <v>39</v>
      </c>
      <c r="E1141" t="s">
        <v>356</v>
      </c>
      <c r="F1141" t="s">
        <v>278</v>
      </c>
      <c r="G1141" t="s">
        <v>7</v>
      </c>
      <c r="H1141">
        <v>7.6</v>
      </c>
      <c r="I1141">
        <v>16</v>
      </c>
      <c r="J1141">
        <v>343</v>
      </c>
      <c r="K1141" t="s">
        <v>102</v>
      </c>
      <c r="L1141" t="s">
        <v>71</v>
      </c>
      <c r="M1141" t="s">
        <v>44</v>
      </c>
      <c r="N1141">
        <v>4.5</v>
      </c>
      <c r="O1141">
        <v>4.7</v>
      </c>
    </row>
    <row r="1142" spans="1:15" x14ac:dyDescent="0.3">
      <c r="A1142" t="s">
        <v>2105</v>
      </c>
      <c r="B1142" t="s">
        <v>510</v>
      </c>
      <c r="C1142" t="s">
        <v>2106</v>
      </c>
      <c r="D1142" t="s">
        <v>39</v>
      </c>
      <c r="E1142" t="s">
        <v>356</v>
      </c>
      <c r="F1142" t="s">
        <v>154</v>
      </c>
      <c r="G1142" t="s">
        <v>2</v>
      </c>
      <c r="H1142">
        <v>1</v>
      </c>
      <c r="I1142">
        <v>10</v>
      </c>
      <c r="J1142">
        <v>68</v>
      </c>
      <c r="K1142" t="s">
        <v>56</v>
      </c>
      <c r="L1142" t="s">
        <v>64</v>
      </c>
      <c r="M1142" t="s">
        <v>44</v>
      </c>
      <c r="N1142">
        <v>4.4000000000000004</v>
      </c>
      <c r="O1142">
        <v>4.9000000000000004</v>
      </c>
    </row>
    <row r="1143" spans="1:15" x14ac:dyDescent="0.3">
      <c r="A1143" t="s">
        <v>2107</v>
      </c>
      <c r="B1143" t="s">
        <v>270</v>
      </c>
      <c r="C1143" t="s">
        <v>1081</v>
      </c>
      <c r="D1143" t="s">
        <v>75</v>
      </c>
      <c r="E1143" t="s">
        <v>239</v>
      </c>
      <c r="F1143" t="s">
        <v>77</v>
      </c>
      <c r="G1143" t="s">
        <v>6</v>
      </c>
      <c r="H1143">
        <v>6.1</v>
      </c>
      <c r="I1143">
        <v>19</v>
      </c>
      <c r="J1143">
        <v>215</v>
      </c>
      <c r="K1143" t="s">
        <v>42</v>
      </c>
      <c r="L1143" t="s">
        <v>71</v>
      </c>
      <c r="M1143" t="s">
        <v>44</v>
      </c>
      <c r="N1143">
        <v>4.8</v>
      </c>
      <c r="O1143">
        <v>5</v>
      </c>
    </row>
    <row r="1144" spans="1:15" x14ac:dyDescent="0.3">
      <c r="A1144" t="s">
        <v>2108</v>
      </c>
      <c r="B1144" t="s">
        <v>177</v>
      </c>
      <c r="C1144" t="s">
        <v>2109</v>
      </c>
      <c r="D1144" t="s">
        <v>30</v>
      </c>
      <c r="E1144" t="s">
        <v>142</v>
      </c>
      <c r="F1144" t="s">
        <v>101</v>
      </c>
      <c r="G1144" t="s">
        <v>5</v>
      </c>
      <c r="H1144">
        <v>9.6</v>
      </c>
      <c r="I1144">
        <v>22</v>
      </c>
      <c r="J1144">
        <v>310</v>
      </c>
      <c r="K1144" t="s">
        <v>102</v>
      </c>
      <c r="L1144" t="s">
        <v>71</v>
      </c>
      <c r="M1144" t="s">
        <v>44</v>
      </c>
      <c r="N1144">
        <v>4.4000000000000004</v>
      </c>
      <c r="O1144">
        <v>4.7</v>
      </c>
    </row>
    <row r="1145" spans="1:15" x14ac:dyDescent="0.3">
      <c r="A1145" t="s">
        <v>2110</v>
      </c>
      <c r="B1145" t="s">
        <v>340</v>
      </c>
      <c r="C1145" t="s">
        <v>882</v>
      </c>
      <c r="D1145" t="s">
        <v>68</v>
      </c>
      <c r="E1145" t="s">
        <v>150</v>
      </c>
      <c r="F1145" t="s">
        <v>69</v>
      </c>
      <c r="G1145" t="s">
        <v>2</v>
      </c>
      <c r="H1145">
        <v>4.9000000000000004</v>
      </c>
      <c r="I1145">
        <v>13</v>
      </c>
      <c r="J1145">
        <v>105</v>
      </c>
      <c r="K1145" t="s">
        <v>102</v>
      </c>
      <c r="L1145" t="s">
        <v>71</v>
      </c>
      <c r="M1145" t="s">
        <v>44</v>
      </c>
      <c r="N1145">
        <v>4.9000000000000004</v>
      </c>
      <c r="O1145">
        <v>4.5999999999999996</v>
      </c>
    </row>
    <row r="1146" spans="1:15" x14ac:dyDescent="0.3">
      <c r="A1146" t="s">
        <v>2111</v>
      </c>
      <c r="B1146" t="s">
        <v>552</v>
      </c>
      <c r="C1146" t="s">
        <v>123</v>
      </c>
      <c r="D1146" t="s">
        <v>75</v>
      </c>
      <c r="E1146" t="s">
        <v>146</v>
      </c>
      <c r="F1146" t="s">
        <v>76</v>
      </c>
      <c r="G1146" t="s">
        <v>2</v>
      </c>
      <c r="H1146">
        <v>3.4</v>
      </c>
      <c r="I1146">
        <v>12</v>
      </c>
      <c r="J1146">
        <v>92</v>
      </c>
      <c r="K1146" t="s">
        <v>102</v>
      </c>
      <c r="L1146" t="s">
        <v>71</v>
      </c>
      <c r="M1146" t="s">
        <v>44</v>
      </c>
      <c r="N1146">
        <v>4.8</v>
      </c>
      <c r="O1146">
        <v>5</v>
      </c>
    </row>
    <row r="1147" spans="1:15" x14ac:dyDescent="0.3">
      <c r="A1147" t="s">
        <v>2112</v>
      </c>
      <c r="B1147" t="s">
        <v>647</v>
      </c>
      <c r="C1147" t="s">
        <v>2113</v>
      </c>
      <c r="D1147" t="s">
        <v>75</v>
      </c>
      <c r="E1147" t="s">
        <v>313</v>
      </c>
      <c r="F1147" t="s">
        <v>76</v>
      </c>
      <c r="G1147" t="s">
        <v>6</v>
      </c>
      <c r="H1147">
        <v>10.7</v>
      </c>
      <c r="I1147">
        <v>31</v>
      </c>
      <c r="J1147">
        <v>226</v>
      </c>
      <c r="K1147" t="s">
        <v>102</v>
      </c>
      <c r="L1147" t="s">
        <v>57</v>
      </c>
      <c r="M1147" t="s">
        <v>35</v>
      </c>
      <c r="N1147">
        <v>4.5999999999999996</v>
      </c>
      <c r="O1147">
        <v>5</v>
      </c>
    </row>
    <row r="1148" spans="1:15" x14ac:dyDescent="0.3">
      <c r="A1148" t="s">
        <v>2114</v>
      </c>
      <c r="B1148" t="s">
        <v>197</v>
      </c>
      <c r="C1148" t="s">
        <v>2115</v>
      </c>
      <c r="D1148" t="s">
        <v>39</v>
      </c>
      <c r="E1148" t="s">
        <v>155</v>
      </c>
      <c r="F1148" t="s">
        <v>48</v>
      </c>
      <c r="G1148" t="s">
        <v>2</v>
      </c>
      <c r="H1148">
        <v>3.6</v>
      </c>
      <c r="I1148">
        <v>14</v>
      </c>
      <c r="J1148">
        <v>81</v>
      </c>
      <c r="K1148" t="s">
        <v>33</v>
      </c>
      <c r="L1148" t="s">
        <v>78</v>
      </c>
      <c r="M1148" t="s">
        <v>44</v>
      </c>
      <c r="N1148">
        <v>4.9000000000000004</v>
      </c>
      <c r="O1148">
        <v>4.7</v>
      </c>
    </row>
    <row r="1149" spans="1:15" x14ac:dyDescent="0.3">
      <c r="A1149" t="s">
        <v>2116</v>
      </c>
      <c r="B1149" t="s">
        <v>246</v>
      </c>
      <c r="C1149" t="s">
        <v>2117</v>
      </c>
      <c r="D1149" t="s">
        <v>61</v>
      </c>
      <c r="E1149" t="s">
        <v>116</v>
      </c>
      <c r="F1149" t="s">
        <v>63</v>
      </c>
      <c r="G1149" t="s">
        <v>3</v>
      </c>
      <c r="H1149">
        <v>6</v>
      </c>
      <c r="I1149">
        <v>17</v>
      </c>
      <c r="J1149">
        <v>346</v>
      </c>
      <c r="K1149" t="s">
        <v>42</v>
      </c>
      <c r="L1149" t="s">
        <v>64</v>
      </c>
      <c r="M1149" t="s">
        <v>44</v>
      </c>
      <c r="N1149">
        <v>5</v>
      </c>
      <c r="O1149">
        <v>4.8</v>
      </c>
    </row>
    <row r="1150" spans="1:15" x14ac:dyDescent="0.3">
      <c r="A1150" t="s">
        <v>2118</v>
      </c>
      <c r="B1150" t="s">
        <v>545</v>
      </c>
      <c r="C1150" t="s">
        <v>414</v>
      </c>
      <c r="D1150" t="s">
        <v>158</v>
      </c>
      <c r="E1150" t="s">
        <v>334</v>
      </c>
      <c r="F1150" t="s">
        <v>160</v>
      </c>
      <c r="G1150" t="s">
        <v>2</v>
      </c>
      <c r="H1150">
        <v>3.2</v>
      </c>
      <c r="I1150">
        <v>11</v>
      </c>
      <c r="J1150">
        <v>96</v>
      </c>
      <c r="K1150" t="s">
        <v>56</v>
      </c>
      <c r="L1150" t="s">
        <v>71</v>
      </c>
      <c r="M1150" t="s">
        <v>44</v>
      </c>
      <c r="N1150">
        <v>4.5999999999999996</v>
      </c>
      <c r="O1150">
        <v>4.5</v>
      </c>
    </row>
    <row r="1151" spans="1:15" x14ac:dyDescent="0.3">
      <c r="A1151" t="s">
        <v>2119</v>
      </c>
      <c r="B1151" t="s">
        <v>808</v>
      </c>
      <c r="C1151" t="s">
        <v>371</v>
      </c>
      <c r="D1151" t="s">
        <v>39</v>
      </c>
      <c r="E1151" t="s">
        <v>48</v>
      </c>
      <c r="F1151" t="s">
        <v>40</v>
      </c>
      <c r="G1151" t="s">
        <v>6</v>
      </c>
      <c r="H1151">
        <v>1</v>
      </c>
      <c r="I1151">
        <v>5</v>
      </c>
      <c r="J1151">
        <v>87</v>
      </c>
      <c r="K1151" t="s">
        <v>56</v>
      </c>
      <c r="L1151" t="s">
        <v>71</v>
      </c>
      <c r="M1151" t="s">
        <v>44</v>
      </c>
      <c r="N1151">
        <v>4.8</v>
      </c>
      <c r="O1151">
        <v>4.7</v>
      </c>
    </row>
    <row r="1152" spans="1:15" x14ac:dyDescent="0.3">
      <c r="A1152" t="s">
        <v>2120</v>
      </c>
      <c r="B1152" t="s">
        <v>531</v>
      </c>
      <c r="C1152" t="s">
        <v>2121</v>
      </c>
      <c r="D1152" t="s">
        <v>39</v>
      </c>
      <c r="E1152" t="s">
        <v>484</v>
      </c>
      <c r="F1152" t="s">
        <v>155</v>
      </c>
      <c r="G1152" t="s">
        <v>6</v>
      </c>
      <c r="H1152">
        <v>8.8000000000000007</v>
      </c>
      <c r="I1152">
        <v>30</v>
      </c>
      <c r="J1152">
        <v>234</v>
      </c>
      <c r="K1152" t="s">
        <v>42</v>
      </c>
      <c r="L1152" t="s">
        <v>78</v>
      </c>
      <c r="M1152" t="s">
        <v>44</v>
      </c>
      <c r="N1152">
        <v>5</v>
      </c>
      <c r="O1152">
        <v>4.5999999999999996</v>
      </c>
    </row>
    <row r="1153" spans="1:15" x14ac:dyDescent="0.3">
      <c r="A1153" t="s">
        <v>2122</v>
      </c>
      <c r="B1153" t="s">
        <v>37</v>
      </c>
      <c r="C1153" t="s">
        <v>2123</v>
      </c>
      <c r="D1153" t="s">
        <v>39</v>
      </c>
      <c r="E1153" t="s">
        <v>278</v>
      </c>
      <c r="F1153" t="s">
        <v>356</v>
      </c>
      <c r="G1153" t="s">
        <v>6</v>
      </c>
      <c r="H1153">
        <v>1.9</v>
      </c>
      <c r="I1153">
        <v>5</v>
      </c>
      <c r="J1153">
        <v>93</v>
      </c>
      <c r="K1153" t="s">
        <v>42</v>
      </c>
      <c r="L1153" t="s">
        <v>43</v>
      </c>
      <c r="M1153" t="s">
        <v>44</v>
      </c>
      <c r="N1153">
        <v>4.9000000000000004</v>
      </c>
      <c r="O1153">
        <v>4.7</v>
      </c>
    </row>
    <row r="1154" spans="1:15" x14ac:dyDescent="0.3">
      <c r="A1154" t="s">
        <v>2124</v>
      </c>
      <c r="B1154" t="s">
        <v>166</v>
      </c>
      <c r="C1154" t="s">
        <v>1964</v>
      </c>
      <c r="D1154" t="s">
        <v>30</v>
      </c>
      <c r="E1154" t="s">
        <v>138</v>
      </c>
      <c r="F1154" t="s">
        <v>100</v>
      </c>
      <c r="G1154" t="s">
        <v>5</v>
      </c>
      <c r="H1154">
        <v>7.4</v>
      </c>
      <c r="I1154">
        <v>20</v>
      </c>
      <c r="J1154">
        <v>219</v>
      </c>
      <c r="K1154" t="s">
        <v>102</v>
      </c>
      <c r="L1154" t="s">
        <v>78</v>
      </c>
      <c r="M1154" t="s">
        <v>44</v>
      </c>
      <c r="N1154">
        <v>4.7</v>
      </c>
      <c r="O1154">
        <v>4.5999999999999996</v>
      </c>
    </row>
    <row r="1155" spans="1:15" x14ac:dyDescent="0.3">
      <c r="A1155" t="s">
        <v>2125</v>
      </c>
      <c r="B1155" t="s">
        <v>373</v>
      </c>
      <c r="C1155" t="s">
        <v>350</v>
      </c>
      <c r="D1155" t="s">
        <v>53</v>
      </c>
      <c r="E1155" t="s">
        <v>86</v>
      </c>
      <c r="F1155" t="s">
        <v>220</v>
      </c>
      <c r="G1155" t="s">
        <v>6</v>
      </c>
      <c r="H1155">
        <v>4.0999999999999996</v>
      </c>
      <c r="I1155">
        <v>5</v>
      </c>
      <c r="J1155">
        <v>138</v>
      </c>
      <c r="K1155" t="s">
        <v>42</v>
      </c>
      <c r="L1155" t="s">
        <v>43</v>
      </c>
      <c r="M1155" t="s">
        <v>44</v>
      </c>
      <c r="N1155">
        <v>4.8</v>
      </c>
      <c r="O1155">
        <v>4.8</v>
      </c>
    </row>
    <row r="1156" spans="1:15" x14ac:dyDescent="0.3">
      <c r="A1156" t="s">
        <v>2126</v>
      </c>
      <c r="B1156" t="s">
        <v>927</v>
      </c>
      <c r="C1156" t="s">
        <v>1182</v>
      </c>
      <c r="D1156" t="s">
        <v>61</v>
      </c>
      <c r="E1156" t="s">
        <v>183</v>
      </c>
      <c r="F1156" t="s">
        <v>62</v>
      </c>
      <c r="G1156" t="s">
        <v>6</v>
      </c>
      <c r="H1156">
        <v>1.9</v>
      </c>
      <c r="I1156">
        <v>5</v>
      </c>
      <c r="J1156">
        <v>85</v>
      </c>
      <c r="K1156" t="s">
        <v>102</v>
      </c>
      <c r="L1156" t="s">
        <v>78</v>
      </c>
      <c r="M1156" t="s">
        <v>44</v>
      </c>
      <c r="N1156">
        <v>4.9000000000000004</v>
      </c>
      <c r="O1156">
        <v>4.9000000000000004</v>
      </c>
    </row>
    <row r="1157" spans="1:15" x14ac:dyDescent="0.3">
      <c r="A1157" t="s">
        <v>2127</v>
      </c>
      <c r="B1157" t="s">
        <v>28</v>
      </c>
      <c r="C1157" t="s">
        <v>1329</v>
      </c>
      <c r="D1157" t="s">
        <v>158</v>
      </c>
      <c r="E1157" t="s">
        <v>159</v>
      </c>
      <c r="F1157" t="s">
        <v>283</v>
      </c>
      <c r="G1157" t="s">
        <v>2</v>
      </c>
      <c r="H1157">
        <v>6.2</v>
      </c>
      <c r="I1157">
        <v>23</v>
      </c>
      <c r="J1157">
        <v>131</v>
      </c>
      <c r="K1157" t="s">
        <v>102</v>
      </c>
      <c r="L1157" t="s">
        <v>71</v>
      </c>
      <c r="M1157" t="s">
        <v>44</v>
      </c>
      <c r="N1157">
        <v>5</v>
      </c>
      <c r="O1157">
        <v>4.5</v>
      </c>
    </row>
    <row r="1158" spans="1:15" x14ac:dyDescent="0.3">
      <c r="A1158" t="s">
        <v>2128</v>
      </c>
      <c r="B1158" t="s">
        <v>400</v>
      </c>
      <c r="C1158" t="s">
        <v>2121</v>
      </c>
      <c r="D1158" t="s">
        <v>158</v>
      </c>
      <c r="E1158" t="s">
        <v>334</v>
      </c>
      <c r="F1158" t="s">
        <v>319</v>
      </c>
      <c r="G1158" t="s">
        <v>4</v>
      </c>
      <c r="H1158">
        <v>9.1</v>
      </c>
      <c r="I1158">
        <v>34</v>
      </c>
      <c r="J1158">
        <v>284</v>
      </c>
      <c r="K1158" t="s">
        <v>33</v>
      </c>
      <c r="L1158" t="s">
        <v>78</v>
      </c>
      <c r="M1158" t="s">
        <v>44</v>
      </c>
      <c r="N1158">
        <v>4.8</v>
      </c>
      <c r="O1158">
        <v>4.5</v>
      </c>
    </row>
    <row r="1159" spans="1:15" x14ac:dyDescent="0.3">
      <c r="A1159" t="s">
        <v>2129</v>
      </c>
      <c r="B1159" t="s">
        <v>330</v>
      </c>
      <c r="C1159" t="s">
        <v>1813</v>
      </c>
      <c r="D1159" t="s">
        <v>53</v>
      </c>
      <c r="E1159" t="s">
        <v>405</v>
      </c>
      <c r="F1159" t="s">
        <v>54</v>
      </c>
      <c r="G1159" t="s">
        <v>6</v>
      </c>
      <c r="H1159">
        <v>2.8</v>
      </c>
      <c r="I1159">
        <v>14</v>
      </c>
      <c r="J1159">
        <v>137</v>
      </c>
      <c r="K1159" t="s">
        <v>33</v>
      </c>
      <c r="L1159" t="s">
        <v>71</v>
      </c>
      <c r="M1159" t="s">
        <v>44</v>
      </c>
      <c r="N1159">
        <v>5</v>
      </c>
      <c r="O1159">
        <v>4.5</v>
      </c>
    </row>
    <row r="1160" spans="1:15" x14ac:dyDescent="0.3">
      <c r="A1160" t="s">
        <v>2130</v>
      </c>
      <c r="B1160" t="s">
        <v>170</v>
      </c>
      <c r="C1160" t="s">
        <v>99</v>
      </c>
      <c r="D1160" t="s">
        <v>158</v>
      </c>
      <c r="E1160" t="s">
        <v>159</v>
      </c>
      <c r="F1160" t="s">
        <v>284</v>
      </c>
      <c r="G1160" t="s">
        <v>4</v>
      </c>
      <c r="H1160">
        <v>6.1</v>
      </c>
      <c r="I1160">
        <v>19</v>
      </c>
      <c r="J1160">
        <v>285</v>
      </c>
      <c r="K1160" t="s">
        <v>33</v>
      </c>
      <c r="L1160" t="s">
        <v>71</v>
      </c>
      <c r="M1160" t="s">
        <v>44</v>
      </c>
      <c r="N1160">
        <v>4.7</v>
      </c>
      <c r="O1160">
        <v>5</v>
      </c>
    </row>
    <row r="1161" spans="1:15" x14ac:dyDescent="0.3">
      <c r="A1161" t="s">
        <v>2131</v>
      </c>
      <c r="B1161" t="s">
        <v>727</v>
      </c>
      <c r="C1161" t="s">
        <v>2132</v>
      </c>
      <c r="D1161" t="s">
        <v>75</v>
      </c>
      <c r="E1161" t="s">
        <v>313</v>
      </c>
      <c r="F1161" t="s">
        <v>146</v>
      </c>
      <c r="G1161" t="s">
        <v>6</v>
      </c>
      <c r="H1161">
        <v>3.2</v>
      </c>
      <c r="I1161">
        <v>9</v>
      </c>
      <c r="J1161">
        <v>102</v>
      </c>
      <c r="K1161" t="s">
        <v>102</v>
      </c>
      <c r="L1161" t="s">
        <v>78</v>
      </c>
      <c r="M1161" t="s">
        <v>44</v>
      </c>
      <c r="N1161">
        <v>4.5999999999999996</v>
      </c>
      <c r="O1161">
        <v>5</v>
      </c>
    </row>
    <row r="1162" spans="1:15" x14ac:dyDescent="0.3">
      <c r="A1162" t="s">
        <v>2133</v>
      </c>
      <c r="B1162" t="s">
        <v>286</v>
      </c>
      <c r="C1162" t="s">
        <v>1276</v>
      </c>
      <c r="D1162" t="s">
        <v>81</v>
      </c>
      <c r="E1162" t="s">
        <v>268</v>
      </c>
      <c r="F1162" t="s">
        <v>134</v>
      </c>
      <c r="G1162" t="s">
        <v>6</v>
      </c>
      <c r="H1162">
        <v>2.1</v>
      </c>
      <c r="I1162">
        <v>10</v>
      </c>
      <c r="J1162">
        <v>106</v>
      </c>
      <c r="K1162" t="s">
        <v>33</v>
      </c>
      <c r="L1162" t="s">
        <v>49</v>
      </c>
      <c r="M1162" t="s">
        <v>44</v>
      </c>
      <c r="N1162">
        <v>4.7</v>
      </c>
      <c r="O1162">
        <v>5</v>
      </c>
    </row>
    <row r="1163" spans="1:15" x14ac:dyDescent="0.3">
      <c r="A1163" t="s">
        <v>2134</v>
      </c>
      <c r="B1163" t="s">
        <v>270</v>
      </c>
      <c r="C1163" t="s">
        <v>1749</v>
      </c>
      <c r="D1163" t="s">
        <v>61</v>
      </c>
      <c r="E1163" t="s">
        <v>62</v>
      </c>
      <c r="F1163" t="s">
        <v>63</v>
      </c>
      <c r="G1163" t="s">
        <v>6</v>
      </c>
      <c r="H1163">
        <v>6.8</v>
      </c>
      <c r="I1163">
        <v>19</v>
      </c>
      <c r="J1163">
        <v>145</v>
      </c>
      <c r="K1163" t="s">
        <v>33</v>
      </c>
      <c r="L1163" t="s">
        <v>64</v>
      </c>
      <c r="M1163" t="s">
        <v>44</v>
      </c>
      <c r="N1163">
        <v>4.5</v>
      </c>
      <c r="O1163">
        <v>4.4000000000000004</v>
      </c>
    </row>
    <row r="1164" spans="1:15" x14ac:dyDescent="0.3">
      <c r="A1164" t="s">
        <v>2135</v>
      </c>
      <c r="B1164" t="s">
        <v>177</v>
      </c>
      <c r="C1164" t="s">
        <v>1346</v>
      </c>
      <c r="D1164" t="s">
        <v>53</v>
      </c>
      <c r="E1164" t="s">
        <v>405</v>
      </c>
      <c r="F1164" t="s">
        <v>220</v>
      </c>
      <c r="G1164" t="s">
        <v>7</v>
      </c>
      <c r="H1164">
        <v>7.4</v>
      </c>
      <c r="I1164">
        <v>22</v>
      </c>
      <c r="J1164">
        <v>287</v>
      </c>
      <c r="K1164" t="s">
        <v>42</v>
      </c>
      <c r="L1164" t="s">
        <v>71</v>
      </c>
      <c r="M1164" t="s">
        <v>44</v>
      </c>
      <c r="N1164">
        <v>5</v>
      </c>
      <c r="O1164">
        <v>4.9000000000000004</v>
      </c>
    </row>
    <row r="1165" spans="1:15" x14ac:dyDescent="0.3">
      <c r="A1165" t="s">
        <v>2136</v>
      </c>
      <c r="B1165" t="s">
        <v>523</v>
      </c>
      <c r="C1165" t="s">
        <v>2137</v>
      </c>
      <c r="D1165" t="s">
        <v>68</v>
      </c>
      <c r="E1165" t="s">
        <v>210</v>
      </c>
      <c r="F1165" t="s">
        <v>130</v>
      </c>
      <c r="G1165" t="s">
        <v>2</v>
      </c>
      <c r="H1165">
        <v>1.7</v>
      </c>
      <c r="I1165">
        <v>7</v>
      </c>
      <c r="J1165">
        <v>69</v>
      </c>
      <c r="K1165" t="s">
        <v>33</v>
      </c>
      <c r="L1165" t="s">
        <v>43</v>
      </c>
      <c r="M1165" t="s">
        <v>44</v>
      </c>
      <c r="N1165">
        <v>5</v>
      </c>
      <c r="O1165">
        <v>5</v>
      </c>
    </row>
    <row r="1166" spans="1:15" x14ac:dyDescent="0.3">
      <c r="A1166" t="s">
        <v>2138</v>
      </c>
      <c r="B1166" t="s">
        <v>309</v>
      </c>
      <c r="C1166" t="s">
        <v>387</v>
      </c>
      <c r="D1166" t="s">
        <v>30</v>
      </c>
      <c r="E1166" t="s">
        <v>100</v>
      </c>
      <c r="F1166" t="s">
        <v>101</v>
      </c>
      <c r="G1166" t="s">
        <v>3</v>
      </c>
      <c r="H1166">
        <v>14.7</v>
      </c>
      <c r="I1166">
        <v>53</v>
      </c>
      <c r="J1166">
        <v>631</v>
      </c>
      <c r="K1166" t="s">
        <v>33</v>
      </c>
      <c r="L1166" t="s">
        <v>64</v>
      </c>
      <c r="M1166" t="s">
        <v>44</v>
      </c>
      <c r="N1166">
        <v>4.5</v>
      </c>
      <c r="O1166">
        <v>5</v>
      </c>
    </row>
    <row r="1167" spans="1:15" x14ac:dyDescent="0.3">
      <c r="A1167" t="s">
        <v>2139</v>
      </c>
      <c r="B1167" t="s">
        <v>276</v>
      </c>
      <c r="C1167" t="s">
        <v>1490</v>
      </c>
      <c r="D1167" t="s">
        <v>75</v>
      </c>
      <c r="E1167" t="s">
        <v>239</v>
      </c>
      <c r="F1167" t="s">
        <v>578</v>
      </c>
      <c r="G1167" t="s">
        <v>4</v>
      </c>
      <c r="H1167">
        <v>22.2</v>
      </c>
      <c r="I1167">
        <v>70</v>
      </c>
      <c r="J1167">
        <v>570</v>
      </c>
      <c r="K1167" t="s">
        <v>375</v>
      </c>
      <c r="L1167" t="s">
        <v>78</v>
      </c>
      <c r="M1167" t="s">
        <v>44</v>
      </c>
      <c r="N1167">
        <v>4.9000000000000004</v>
      </c>
      <c r="O1167">
        <v>5</v>
      </c>
    </row>
    <row r="1168" spans="1:15" x14ac:dyDescent="0.3">
      <c r="A1168" t="s">
        <v>2140</v>
      </c>
      <c r="B1168" t="s">
        <v>208</v>
      </c>
      <c r="C1168" t="s">
        <v>1084</v>
      </c>
      <c r="D1168" t="s">
        <v>53</v>
      </c>
      <c r="E1168" t="s">
        <v>220</v>
      </c>
      <c r="F1168" t="s">
        <v>515</v>
      </c>
      <c r="G1168" t="s">
        <v>3</v>
      </c>
      <c r="H1168">
        <v>8.6999999999999993</v>
      </c>
      <c r="I1168">
        <v>12</v>
      </c>
      <c r="J1168">
        <v>431</v>
      </c>
      <c r="K1168" t="s">
        <v>102</v>
      </c>
      <c r="L1168" t="s">
        <v>49</v>
      </c>
      <c r="M1168" t="s">
        <v>44</v>
      </c>
      <c r="N1168">
        <v>4.7</v>
      </c>
      <c r="O1168">
        <v>4.5999999999999996</v>
      </c>
    </row>
    <row r="1169" spans="1:15" x14ac:dyDescent="0.3">
      <c r="A1169" t="s">
        <v>2141</v>
      </c>
      <c r="B1169" t="s">
        <v>422</v>
      </c>
      <c r="C1169" t="s">
        <v>1042</v>
      </c>
      <c r="D1169" t="s">
        <v>68</v>
      </c>
      <c r="E1169" t="s">
        <v>172</v>
      </c>
      <c r="F1169" t="s">
        <v>69</v>
      </c>
      <c r="G1169" t="s">
        <v>6</v>
      </c>
      <c r="H1169">
        <v>6.8</v>
      </c>
      <c r="I1169">
        <v>13</v>
      </c>
      <c r="J1169">
        <v>153</v>
      </c>
      <c r="K1169" t="s">
        <v>33</v>
      </c>
      <c r="L1169" t="s">
        <v>78</v>
      </c>
      <c r="M1169" t="s">
        <v>44</v>
      </c>
      <c r="N1169">
        <v>4.4000000000000004</v>
      </c>
      <c r="O1169">
        <v>4.7</v>
      </c>
    </row>
    <row r="1170" spans="1:15" x14ac:dyDescent="0.3">
      <c r="A1170" t="s">
        <v>2142</v>
      </c>
      <c r="B1170" t="s">
        <v>523</v>
      </c>
      <c r="C1170" t="s">
        <v>2143</v>
      </c>
      <c r="D1170" t="s">
        <v>68</v>
      </c>
      <c r="E1170" t="s">
        <v>70</v>
      </c>
      <c r="F1170" t="s">
        <v>172</v>
      </c>
      <c r="G1170" t="s">
        <v>3</v>
      </c>
      <c r="H1170">
        <v>9.6999999999999993</v>
      </c>
      <c r="I1170">
        <v>23</v>
      </c>
      <c r="J1170">
        <v>636</v>
      </c>
      <c r="K1170" t="s">
        <v>375</v>
      </c>
      <c r="L1170" t="s">
        <v>71</v>
      </c>
      <c r="M1170" t="s">
        <v>44</v>
      </c>
      <c r="N1170">
        <v>4.5</v>
      </c>
      <c r="O1170">
        <v>4.5</v>
      </c>
    </row>
    <row r="1171" spans="1:15" x14ac:dyDescent="0.3">
      <c r="A1171" t="s">
        <v>2144</v>
      </c>
      <c r="B1171" t="s">
        <v>422</v>
      </c>
      <c r="C1171" t="s">
        <v>2145</v>
      </c>
      <c r="D1171" t="s">
        <v>39</v>
      </c>
      <c r="E1171" t="s">
        <v>356</v>
      </c>
      <c r="F1171" t="s">
        <v>40</v>
      </c>
      <c r="G1171" t="s">
        <v>6</v>
      </c>
      <c r="H1171">
        <v>6.4</v>
      </c>
      <c r="I1171">
        <v>15</v>
      </c>
      <c r="J1171">
        <v>168</v>
      </c>
      <c r="K1171" t="s">
        <v>102</v>
      </c>
      <c r="L1171" t="s">
        <v>43</v>
      </c>
      <c r="M1171" t="s">
        <v>44</v>
      </c>
      <c r="N1171">
        <v>4.7</v>
      </c>
      <c r="O1171">
        <v>4.7</v>
      </c>
    </row>
    <row r="1172" spans="1:15" x14ac:dyDescent="0.3">
      <c r="A1172" t="s">
        <v>2146</v>
      </c>
      <c r="B1172" t="s">
        <v>447</v>
      </c>
      <c r="C1172" t="s">
        <v>724</v>
      </c>
      <c r="D1172" t="s">
        <v>106</v>
      </c>
      <c r="E1172" t="s">
        <v>108</v>
      </c>
      <c r="F1172" t="s">
        <v>290</v>
      </c>
      <c r="G1172" t="s">
        <v>4</v>
      </c>
      <c r="H1172">
        <v>7.3</v>
      </c>
      <c r="I1172">
        <v>18</v>
      </c>
      <c r="J1172">
        <v>326</v>
      </c>
      <c r="K1172" t="s">
        <v>33</v>
      </c>
      <c r="L1172" t="s">
        <v>64</v>
      </c>
      <c r="M1172" t="s">
        <v>44</v>
      </c>
      <c r="N1172">
        <v>4.9000000000000004</v>
      </c>
      <c r="O1172">
        <v>4.7</v>
      </c>
    </row>
    <row r="1173" spans="1:15" x14ac:dyDescent="0.3">
      <c r="A1173" t="s">
        <v>2147</v>
      </c>
      <c r="B1173" t="s">
        <v>181</v>
      </c>
      <c r="C1173" t="s">
        <v>123</v>
      </c>
      <c r="D1173" t="s">
        <v>61</v>
      </c>
      <c r="E1173" t="s">
        <v>95</v>
      </c>
      <c r="F1173" t="s">
        <v>116</v>
      </c>
      <c r="G1173" t="s">
        <v>4</v>
      </c>
      <c r="H1173">
        <v>5.2</v>
      </c>
      <c r="I1173">
        <v>14</v>
      </c>
      <c r="J1173">
        <v>270</v>
      </c>
      <c r="K1173" t="s">
        <v>42</v>
      </c>
      <c r="L1173" t="s">
        <v>71</v>
      </c>
      <c r="M1173" t="s">
        <v>44</v>
      </c>
      <c r="N1173">
        <v>4.7</v>
      </c>
      <c r="O1173">
        <v>4.8</v>
      </c>
    </row>
    <row r="1174" spans="1:15" x14ac:dyDescent="0.3">
      <c r="A1174" t="s">
        <v>2148</v>
      </c>
      <c r="B1174" t="s">
        <v>114</v>
      </c>
      <c r="C1174" t="s">
        <v>214</v>
      </c>
      <c r="D1174" t="s">
        <v>158</v>
      </c>
      <c r="E1174" t="s">
        <v>319</v>
      </c>
      <c r="F1174" t="s">
        <v>334</v>
      </c>
      <c r="G1174" t="s">
        <v>6</v>
      </c>
      <c r="H1174">
        <v>1.1000000000000001</v>
      </c>
      <c r="I1174">
        <v>5</v>
      </c>
      <c r="J1174">
        <v>68</v>
      </c>
      <c r="K1174" t="s">
        <v>33</v>
      </c>
      <c r="L1174" t="s">
        <v>78</v>
      </c>
      <c r="M1174" t="s">
        <v>44</v>
      </c>
      <c r="N1174">
        <v>4.2</v>
      </c>
      <c r="O1174">
        <v>4.5</v>
      </c>
    </row>
    <row r="1175" spans="1:15" x14ac:dyDescent="0.3">
      <c r="A1175" t="s">
        <v>2149</v>
      </c>
      <c r="B1175" t="s">
        <v>373</v>
      </c>
      <c r="C1175" t="s">
        <v>521</v>
      </c>
      <c r="D1175" t="s">
        <v>81</v>
      </c>
      <c r="E1175" t="s">
        <v>201</v>
      </c>
      <c r="F1175" t="s">
        <v>351</v>
      </c>
      <c r="G1175" t="s">
        <v>2</v>
      </c>
      <c r="H1175">
        <v>2.2999999999999998</v>
      </c>
      <c r="I1175">
        <v>13</v>
      </c>
      <c r="J1175">
        <v>77</v>
      </c>
      <c r="K1175" t="s">
        <v>42</v>
      </c>
      <c r="L1175" t="s">
        <v>49</v>
      </c>
      <c r="M1175" t="s">
        <v>44</v>
      </c>
      <c r="N1175">
        <v>4.7</v>
      </c>
      <c r="O1175">
        <v>4.5</v>
      </c>
    </row>
    <row r="1176" spans="1:15" x14ac:dyDescent="0.3">
      <c r="A1176" t="s">
        <v>2150</v>
      </c>
      <c r="B1176" t="s">
        <v>181</v>
      </c>
      <c r="C1176" t="s">
        <v>2151</v>
      </c>
      <c r="D1176" t="s">
        <v>75</v>
      </c>
      <c r="E1176" t="s">
        <v>76</v>
      </c>
      <c r="F1176" t="s">
        <v>578</v>
      </c>
      <c r="G1176" t="s">
        <v>6</v>
      </c>
      <c r="H1176">
        <v>4.4000000000000004</v>
      </c>
      <c r="I1176">
        <v>18</v>
      </c>
      <c r="J1176">
        <v>114</v>
      </c>
      <c r="K1176" t="s">
        <v>42</v>
      </c>
      <c r="L1176" t="s">
        <v>34</v>
      </c>
      <c r="M1176" t="s">
        <v>35</v>
      </c>
      <c r="N1176">
        <v>4.2</v>
      </c>
      <c r="O1176">
        <v>4.5</v>
      </c>
    </row>
    <row r="1177" spans="1:15" x14ac:dyDescent="0.3">
      <c r="A1177" t="s">
        <v>2152</v>
      </c>
      <c r="B1177" t="s">
        <v>59</v>
      </c>
      <c r="C1177" t="s">
        <v>710</v>
      </c>
      <c r="D1177" t="s">
        <v>68</v>
      </c>
      <c r="E1177" t="s">
        <v>172</v>
      </c>
      <c r="F1177" t="s">
        <v>70</v>
      </c>
      <c r="G1177" t="s">
        <v>6</v>
      </c>
      <c r="H1177">
        <v>10</v>
      </c>
      <c r="I1177">
        <v>32</v>
      </c>
      <c r="J1177">
        <v>205</v>
      </c>
      <c r="K1177" t="s">
        <v>56</v>
      </c>
      <c r="L1177" t="s">
        <v>78</v>
      </c>
      <c r="M1177" t="s">
        <v>44</v>
      </c>
      <c r="N1177">
        <v>4.7</v>
      </c>
      <c r="O1177">
        <v>4.5999999999999996</v>
      </c>
    </row>
    <row r="1178" spans="1:15" x14ac:dyDescent="0.3">
      <c r="A1178" t="s">
        <v>2153</v>
      </c>
      <c r="B1178" t="s">
        <v>629</v>
      </c>
      <c r="C1178" t="s">
        <v>368</v>
      </c>
      <c r="D1178" t="s">
        <v>75</v>
      </c>
      <c r="E1178" t="s">
        <v>146</v>
      </c>
      <c r="F1178" t="s">
        <v>76</v>
      </c>
      <c r="G1178" t="s">
        <v>6</v>
      </c>
      <c r="H1178">
        <v>1.6</v>
      </c>
      <c r="I1178">
        <v>6</v>
      </c>
      <c r="J1178">
        <v>77</v>
      </c>
      <c r="K1178" t="s">
        <v>102</v>
      </c>
      <c r="L1178" t="s">
        <v>78</v>
      </c>
      <c r="M1178" t="s">
        <v>44</v>
      </c>
      <c r="N1178">
        <v>4.8</v>
      </c>
      <c r="O1178">
        <v>4.5999999999999996</v>
      </c>
    </row>
    <row r="1179" spans="1:15" x14ac:dyDescent="0.3">
      <c r="A1179" t="s">
        <v>2154</v>
      </c>
      <c r="B1179" t="s">
        <v>294</v>
      </c>
      <c r="C1179" t="s">
        <v>1070</v>
      </c>
      <c r="D1179" t="s">
        <v>81</v>
      </c>
      <c r="E1179" t="s">
        <v>90</v>
      </c>
      <c r="F1179" t="s">
        <v>351</v>
      </c>
      <c r="G1179" t="s">
        <v>6</v>
      </c>
      <c r="H1179">
        <v>5.7</v>
      </c>
      <c r="I1179">
        <v>12</v>
      </c>
      <c r="J1179">
        <v>189</v>
      </c>
      <c r="K1179" t="s">
        <v>33</v>
      </c>
      <c r="L1179" t="s">
        <v>43</v>
      </c>
      <c r="M1179" t="s">
        <v>44</v>
      </c>
      <c r="N1179">
        <v>4.9000000000000004</v>
      </c>
      <c r="O1179">
        <v>4.9000000000000004</v>
      </c>
    </row>
    <row r="1180" spans="1:15" x14ac:dyDescent="0.3">
      <c r="A1180" t="s">
        <v>2155</v>
      </c>
      <c r="B1180" t="s">
        <v>422</v>
      </c>
      <c r="C1180" t="s">
        <v>1724</v>
      </c>
      <c r="D1180" t="s">
        <v>53</v>
      </c>
      <c r="E1180" t="s">
        <v>55</v>
      </c>
      <c r="F1180" t="s">
        <v>86</v>
      </c>
      <c r="G1180" t="s">
        <v>6</v>
      </c>
      <c r="H1180">
        <v>3.9</v>
      </c>
      <c r="I1180">
        <v>13</v>
      </c>
      <c r="J1180">
        <v>127</v>
      </c>
      <c r="K1180" t="s">
        <v>42</v>
      </c>
      <c r="L1180" t="s">
        <v>78</v>
      </c>
      <c r="M1180" t="s">
        <v>44</v>
      </c>
      <c r="N1180">
        <v>4.3</v>
      </c>
      <c r="O1180">
        <v>4.8</v>
      </c>
    </row>
    <row r="1181" spans="1:15" x14ac:dyDescent="0.3">
      <c r="A1181" t="s">
        <v>2156</v>
      </c>
      <c r="B1181" t="s">
        <v>136</v>
      </c>
      <c r="C1181" t="s">
        <v>1912</v>
      </c>
      <c r="D1181" t="s">
        <v>39</v>
      </c>
      <c r="E1181" t="s">
        <v>155</v>
      </c>
      <c r="F1181" t="s">
        <v>40</v>
      </c>
      <c r="G1181" t="s">
        <v>6</v>
      </c>
      <c r="H1181">
        <v>6.5</v>
      </c>
      <c r="I1181">
        <v>16</v>
      </c>
      <c r="J1181">
        <v>183</v>
      </c>
      <c r="K1181" t="s">
        <v>42</v>
      </c>
      <c r="L1181" t="s">
        <v>64</v>
      </c>
      <c r="M1181" t="s">
        <v>44</v>
      </c>
      <c r="N1181">
        <v>4.7</v>
      </c>
      <c r="O1181">
        <v>4.9000000000000004</v>
      </c>
    </row>
    <row r="1182" spans="1:15" x14ac:dyDescent="0.3">
      <c r="A1182" t="s">
        <v>2157</v>
      </c>
      <c r="B1182" t="s">
        <v>28</v>
      </c>
      <c r="C1182" t="s">
        <v>1504</v>
      </c>
      <c r="D1182" t="s">
        <v>39</v>
      </c>
      <c r="E1182" t="s">
        <v>154</v>
      </c>
      <c r="F1182" t="s">
        <v>356</v>
      </c>
      <c r="G1182" t="s">
        <v>2</v>
      </c>
      <c r="H1182">
        <v>3.3</v>
      </c>
      <c r="I1182">
        <v>17</v>
      </c>
      <c r="J1182">
        <v>71</v>
      </c>
      <c r="K1182" t="s">
        <v>102</v>
      </c>
      <c r="L1182" t="s">
        <v>64</v>
      </c>
      <c r="M1182" t="s">
        <v>44</v>
      </c>
      <c r="N1182">
        <v>4.8</v>
      </c>
      <c r="O1182">
        <v>4.9000000000000004</v>
      </c>
    </row>
    <row r="1183" spans="1:15" x14ac:dyDescent="0.3">
      <c r="A1183" t="s">
        <v>2158</v>
      </c>
      <c r="B1183" t="s">
        <v>403</v>
      </c>
      <c r="C1183" t="s">
        <v>1580</v>
      </c>
      <c r="D1183" t="s">
        <v>61</v>
      </c>
      <c r="E1183" t="s">
        <v>328</v>
      </c>
      <c r="F1183" t="s">
        <v>63</v>
      </c>
      <c r="G1183" t="s">
        <v>6</v>
      </c>
      <c r="H1183">
        <v>1.4</v>
      </c>
      <c r="I1183">
        <v>7</v>
      </c>
      <c r="J1183">
        <v>80</v>
      </c>
      <c r="K1183" t="s">
        <v>56</v>
      </c>
      <c r="L1183" t="s">
        <v>43</v>
      </c>
      <c r="M1183" t="s">
        <v>44</v>
      </c>
      <c r="N1183">
        <v>4.7</v>
      </c>
      <c r="O1183">
        <v>4.9000000000000004</v>
      </c>
    </row>
    <row r="1184" spans="1:15" x14ac:dyDescent="0.3">
      <c r="A1184" t="s">
        <v>2159</v>
      </c>
      <c r="B1184" t="s">
        <v>604</v>
      </c>
      <c r="C1184" t="s">
        <v>2160</v>
      </c>
      <c r="D1184" t="s">
        <v>53</v>
      </c>
      <c r="E1184" t="s">
        <v>55</v>
      </c>
      <c r="F1184" t="s">
        <v>220</v>
      </c>
      <c r="G1184" t="s">
        <v>5</v>
      </c>
      <c r="H1184">
        <v>15.4</v>
      </c>
      <c r="I1184">
        <v>27</v>
      </c>
      <c r="J1184">
        <v>296</v>
      </c>
      <c r="K1184" t="s">
        <v>42</v>
      </c>
      <c r="L1184" t="s">
        <v>34</v>
      </c>
      <c r="M1184" t="s">
        <v>35</v>
      </c>
      <c r="N1184">
        <v>5</v>
      </c>
      <c r="O1184">
        <v>4.9000000000000004</v>
      </c>
    </row>
    <row r="1185" spans="1:15" x14ac:dyDescent="0.3">
      <c r="A1185" t="s">
        <v>2161</v>
      </c>
      <c r="B1185" t="s">
        <v>46</v>
      </c>
      <c r="C1185" t="s">
        <v>2162</v>
      </c>
      <c r="D1185" t="s">
        <v>39</v>
      </c>
      <c r="E1185" t="s">
        <v>278</v>
      </c>
      <c r="F1185" t="s">
        <v>40</v>
      </c>
      <c r="G1185" t="s">
        <v>2</v>
      </c>
      <c r="H1185">
        <v>1.8</v>
      </c>
      <c r="I1185">
        <v>10</v>
      </c>
      <c r="J1185">
        <v>56</v>
      </c>
      <c r="K1185" t="s">
        <v>33</v>
      </c>
      <c r="L1185" t="s">
        <v>49</v>
      </c>
      <c r="M1185" t="s">
        <v>44</v>
      </c>
      <c r="N1185">
        <v>5</v>
      </c>
      <c r="O1185">
        <v>4.8</v>
      </c>
    </row>
    <row r="1186" spans="1:15" x14ac:dyDescent="0.3">
      <c r="A1186" t="s">
        <v>2163</v>
      </c>
      <c r="B1186" t="s">
        <v>152</v>
      </c>
      <c r="C1186" t="s">
        <v>813</v>
      </c>
      <c r="D1186" t="s">
        <v>68</v>
      </c>
      <c r="E1186" t="s">
        <v>69</v>
      </c>
      <c r="F1186" t="s">
        <v>120</v>
      </c>
      <c r="G1186" t="s">
        <v>6</v>
      </c>
      <c r="H1186">
        <v>4.5999999999999996</v>
      </c>
      <c r="I1186">
        <v>13</v>
      </c>
      <c r="J1186">
        <v>133</v>
      </c>
      <c r="K1186" t="s">
        <v>102</v>
      </c>
      <c r="L1186" t="s">
        <v>78</v>
      </c>
      <c r="M1186" t="s">
        <v>44</v>
      </c>
      <c r="N1186">
        <v>4.7</v>
      </c>
      <c r="O1186">
        <v>4.7</v>
      </c>
    </row>
    <row r="1187" spans="1:15" x14ac:dyDescent="0.3">
      <c r="A1187" t="s">
        <v>2164</v>
      </c>
      <c r="B1187" t="s">
        <v>128</v>
      </c>
      <c r="C1187" t="s">
        <v>2165</v>
      </c>
      <c r="D1187" t="s">
        <v>53</v>
      </c>
      <c r="E1187" t="s">
        <v>405</v>
      </c>
      <c r="F1187" t="s">
        <v>515</v>
      </c>
      <c r="G1187" t="s">
        <v>2</v>
      </c>
      <c r="H1187">
        <v>1</v>
      </c>
      <c r="I1187">
        <v>5</v>
      </c>
      <c r="J1187">
        <v>50</v>
      </c>
      <c r="K1187" t="s">
        <v>33</v>
      </c>
      <c r="L1187" t="s">
        <v>71</v>
      </c>
      <c r="M1187" t="s">
        <v>44</v>
      </c>
      <c r="N1187">
        <v>5</v>
      </c>
      <c r="O1187">
        <v>5</v>
      </c>
    </row>
    <row r="1188" spans="1:15" x14ac:dyDescent="0.3">
      <c r="A1188" t="s">
        <v>2166</v>
      </c>
      <c r="B1188" t="s">
        <v>218</v>
      </c>
      <c r="C1188" t="s">
        <v>2167</v>
      </c>
      <c r="D1188" t="s">
        <v>81</v>
      </c>
      <c r="E1188" t="s">
        <v>90</v>
      </c>
      <c r="F1188" t="s">
        <v>351</v>
      </c>
      <c r="G1188" t="s">
        <v>7</v>
      </c>
      <c r="H1188">
        <v>6.6</v>
      </c>
      <c r="I1188">
        <v>21</v>
      </c>
      <c r="J1188">
        <v>250</v>
      </c>
      <c r="K1188" t="s">
        <v>33</v>
      </c>
      <c r="L1188" t="s">
        <v>71</v>
      </c>
      <c r="M1188" t="s">
        <v>44</v>
      </c>
      <c r="N1188">
        <v>4.5999999999999996</v>
      </c>
      <c r="O1188">
        <v>4.7</v>
      </c>
    </row>
    <row r="1189" spans="1:15" x14ac:dyDescent="0.3">
      <c r="A1189" t="s">
        <v>2168</v>
      </c>
      <c r="B1189" t="s">
        <v>73</v>
      </c>
      <c r="C1189" t="s">
        <v>1184</v>
      </c>
      <c r="D1189" t="s">
        <v>39</v>
      </c>
      <c r="E1189" t="s">
        <v>154</v>
      </c>
      <c r="F1189" t="s">
        <v>278</v>
      </c>
      <c r="G1189" t="s">
        <v>2</v>
      </c>
      <c r="H1189">
        <v>3.1</v>
      </c>
      <c r="I1189">
        <v>8</v>
      </c>
      <c r="J1189">
        <v>94</v>
      </c>
      <c r="K1189" t="s">
        <v>33</v>
      </c>
      <c r="L1189" t="s">
        <v>64</v>
      </c>
      <c r="M1189" t="s">
        <v>44</v>
      </c>
      <c r="N1189">
        <v>4.7</v>
      </c>
      <c r="O1189">
        <v>4.7</v>
      </c>
    </row>
    <row r="1190" spans="1:15" x14ac:dyDescent="0.3">
      <c r="A1190" t="s">
        <v>2169</v>
      </c>
      <c r="B1190" t="s">
        <v>144</v>
      </c>
      <c r="C1190" t="s">
        <v>1480</v>
      </c>
      <c r="D1190" t="s">
        <v>81</v>
      </c>
      <c r="E1190" t="s">
        <v>134</v>
      </c>
      <c r="F1190" t="s">
        <v>201</v>
      </c>
      <c r="G1190" t="s">
        <v>4</v>
      </c>
      <c r="H1190">
        <v>13.8</v>
      </c>
      <c r="I1190">
        <v>28</v>
      </c>
      <c r="J1190">
        <v>442</v>
      </c>
      <c r="K1190" t="s">
        <v>33</v>
      </c>
      <c r="L1190" t="s">
        <v>71</v>
      </c>
      <c r="M1190" t="s">
        <v>44</v>
      </c>
      <c r="N1190">
        <v>4.5999999999999996</v>
      </c>
      <c r="O1190">
        <v>5</v>
      </c>
    </row>
    <row r="1191" spans="1:15" x14ac:dyDescent="0.3">
      <c r="A1191" t="s">
        <v>2170</v>
      </c>
      <c r="B1191" t="s">
        <v>647</v>
      </c>
      <c r="C1191" t="s">
        <v>350</v>
      </c>
      <c r="D1191" t="s">
        <v>61</v>
      </c>
      <c r="E1191" t="s">
        <v>63</v>
      </c>
      <c r="F1191" t="s">
        <v>328</v>
      </c>
      <c r="G1191" t="s">
        <v>5</v>
      </c>
      <c r="H1191">
        <v>6.2</v>
      </c>
      <c r="I1191">
        <v>15</v>
      </c>
      <c r="J1191">
        <v>206</v>
      </c>
      <c r="K1191" t="s">
        <v>102</v>
      </c>
      <c r="L1191" t="s">
        <v>43</v>
      </c>
      <c r="M1191" t="s">
        <v>44</v>
      </c>
      <c r="N1191">
        <v>4.5999999999999996</v>
      </c>
      <c r="O1191">
        <v>4.5</v>
      </c>
    </row>
    <row r="1192" spans="1:15" x14ac:dyDescent="0.3">
      <c r="A1192" t="s">
        <v>2171</v>
      </c>
      <c r="B1192" t="s">
        <v>254</v>
      </c>
      <c r="C1192" t="s">
        <v>1464</v>
      </c>
      <c r="D1192" t="s">
        <v>39</v>
      </c>
      <c r="E1192" t="s">
        <v>278</v>
      </c>
      <c r="F1192" t="s">
        <v>356</v>
      </c>
      <c r="G1192" t="s">
        <v>6</v>
      </c>
      <c r="H1192">
        <v>4.5</v>
      </c>
      <c r="I1192">
        <v>20</v>
      </c>
      <c r="J1192">
        <v>175</v>
      </c>
      <c r="K1192" t="s">
        <v>33</v>
      </c>
      <c r="L1192" t="s">
        <v>43</v>
      </c>
      <c r="M1192" t="s">
        <v>44</v>
      </c>
      <c r="N1192">
        <v>4.5999999999999996</v>
      </c>
      <c r="O1192">
        <v>4.5999999999999996</v>
      </c>
    </row>
    <row r="1193" spans="1:15" x14ac:dyDescent="0.3">
      <c r="A1193" t="s">
        <v>2172</v>
      </c>
      <c r="B1193" t="s">
        <v>98</v>
      </c>
      <c r="C1193" t="s">
        <v>345</v>
      </c>
      <c r="D1193" t="s">
        <v>39</v>
      </c>
      <c r="E1193" t="s">
        <v>155</v>
      </c>
      <c r="F1193" t="s">
        <v>154</v>
      </c>
      <c r="G1193" t="s">
        <v>4</v>
      </c>
      <c r="H1193">
        <v>32.9</v>
      </c>
      <c r="I1193">
        <v>85</v>
      </c>
      <c r="J1193">
        <v>1166</v>
      </c>
      <c r="K1193" t="s">
        <v>102</v>
      </c>
      <c r="L1193" t="s">
        <v>71</v>
      </c>
      <c r="M1193" t="s">
        <v>44</v>
      </c>
      <c r="N1193">
        <v>4.8</v>
      </c>
      <c r="O1193">
        <v>4.5999999999999996</v>
      </c>
    </row>
    <row r="1194" spans="1:15" x14ac:dyDescent="0.3">
      <c r="A1194" t="s">
        <v>2173</v>
      </c>
      <c r="B1194" t="s">
        <v>249</v>
      </c>
      <c r="C1194" t="s">
        <v>2174</v>
      </c>
      <c r="D1194" t="s">
        <v>53</v>
      </c>
      <c r="E1194" t="s">
        <v>86</v>
      </c>
      <c r="F1194" t="s">
        <v>405</v>
      </c>
      <c r="G1194" t="s">
        <v>4</v>
      </c>
      <c r="H1194">
        <v>15.8</v>
      </c>
      <c r="I1194">
        <v>46</v>
      </c>
      <c r="J1194">
        <v>480</v>
      </c>
      <c r="K1194" t="s">
        <v>42</v>
      </c>
      <c r="L1194" t="s">
        <v>43</v>
      </c>
      <c r="M1194" t="s">
        <v>44</v>
      </c>
      <c r="N1194">
        <v>4.7</v>
      </c>
      <c r="O1194">
        <v>5</v>
      </c>
    </row>
    <row r="1195" spans="1:15" x14ac:dyDescent="0.3">
      <c r="A1195" t="s">
        <v>2175</v>
      </c>
      <c r="B1195" t="s">
        <v>373</v>
      </c>
      <c r="C1195" t="s">
        <v>1726</v>
      </c>
      <c r="D1195" t="s">
        <v>39</v>
      </c>
      <c r="E1195" t="s">
        <v>48</v>
      </c>
      <c r="F1195" t="s">
        <v>40</v>
      </c>
      <c r="G1195" t="s">
        <v>7</v>
      </c>
      <c r="H1195">
        <v>8.6</v>
      </c>
      <c r="I1195">
        <v>31</v>
      </c>
      <c r="J1195">
        <v>299</v>
      </c>
      <c r="K1195" t="s">
        <v>192</v>
      </c>
      <c r="L1195" t="s">
        <v>64</v>
      </c>
      <c r="M1195" t="s">
        <v>44</v>
      </c>
      <c r="N1195">
        <v>5</v>
      </c>
      <c r="O1195">
        <v>4.5</v>
      </c>
    </row>
    <row r="1196" spans="1:15" x14ac:dyDescent="0.3">
      <c r="A1196" t="s">
        <v>2176</v>
      </c>
      <c r="B1196" t="s">
        <v>523</v>
      </c>
      <c r="C1196" t="s">
        <v>702</v>
      </c>
      <c r="D1196" t="s">
        <v>81</v>
      </c>
      <c r="E1196" t="s">
        <v>90</v>
      </c>
      <c r="F1196" t="s">
        <v>134</v>
      </c>
      <c r="G1196" t="s">
        <v>2</v>
      </c>
      <c r="H1196">
        <v>11.5</v>
      </c>
      <c r="I1196">
        <v>29</v>
      </c>
      <c r="J1196">
        <v>153</v>
      </c>
      <c r="K1196" t="s">
        <v>33</v>
      </c>
      <c r="L1196" t="s">
        <v>34</v>
      </c>
      <c r="M1196" t="s">
        <v>35</v>
      </c>
      <c r="N1196">
        <v>4.7</v>
      </c>
      <c r="O1196">
        <v>4.5</v>
      </c>
    </row>
    <row r="1197" spans="1:15" x14ac:dyDescent="0.3">
      <c r="A1197" t="s">
        <v>2177</v>
      </c>
      <c r="B1197" t="s">
        <v>286</v>
      </c>
      <c r="C1197" t="s">
        <v>913</v>
      </c>
      <c r="D1197" t="s">
        <v>81</v>
      </c>
      <c r="E1197" t="s">
        <v>134</v>
      </c>
      <c r="F1197" t="s">
        <v>201</v>
      </c>
      <c r="G1197" t="s">
        <v>2</v>
      </c>
      <c r="H1197">
        <v>1.6</v>
      </c>
      <c r="I1197">
        <v>5</v>
      </c>
      <c r="J1197">
        <v>78</v>
      </c>
      <c r="K1197" t="s">
        <v>42</v>
      </c>
      <c r="L1197" t="s">
        <v>43</v>
      </c>
      <c r="M1197" t="s">
        <v>44</v>
      </c>
      <c r="N1197">
        <v>4.7</v>
      </c>
      <c r="O1197">
        <v>4.8</v>
      </c>
    </row>
    <row r="1198" spans="1:15" x14ac:dyDescent="0.3">
      <c r="A1198" t="s">
        <v>2178</v>
      </c>
      <c r="B1198" t="s">
        <v>647</v>
      </c>
      <c r="C1198" t="s">
        <v>2179</v>
      </c>
      <c r="D1198" t="s">
        <v>81</v>
      </c>
      <c r="E1198" t="s">
        <v>134</v>
      </c>
      <c r="F1198" t="s">
        <v>201</v>
      </c>
      <c r="G1198" t="s">
        <v>4</v>
      </c>
      <c r="H1198">
        <v>2.9</v>
      </c>
      <c r="I1198">
        <v>5</v>
      </c>
      <c r="J1198">
        <v>164</v>
      </c>
      <c r="K1198" t="s">
        <v>102</v>
      </c>
      <c r="L1198" t="s">
        <v>78</v>
      </c>
      <c r="M1198" t="s">
        <v>44</v>
      </c>
      <c r="N1198">
        <v>5</v>
      </c>
      <c r="O1198">
        <v>4.7</v>
      </c>
    </row>
    <row r="1199" spans="1:15" x14ac:dyDescent="0.3">
      <c r="A1199" t="s">
        <v>2180</v>
      </c>
      <c r="B1199" t="s">
        <v>586</v>
      </c>
      <c r="C1199" t="s">
        <v>2181</v>
      </c>
      <c r="D1199" t="s">
        <v>30</v>
      </c>
      <c r="E1199" t="s">
        <v>32</v>
      </c>
      <c r="F1199" t="s">
        <v>138</v>
      </c>
      <c r="G1199" t="s">
        <v>7</v>
      </c>
      <c r="H1199">
        <v>3.2</v>
      </c>
      <c r="I1199">
        <v>13</v>
      </c>
      <c r="J1199">
        <v>220</v>
      </c>
      <c r="K1199" t="s">
        <v>42</v>
      </c>
      <c r="L1199" t="s">
        <v>71</v>
      </c>
      <c r="M1199" t="s">
        <v>44</v>
      </c>
      <c r="N1199">
        <v>4.4000000000000004</v>
      </c>
      <c r="O1199">
        <v>5</v>
      </c>
    </row>
    <row r="1200" spans="1:15" x14ac:dyDescent="0.3">
      <c r="A1200" t="s">
        <v>2182</v>
      </c>
      <c r="B1200" t="s">
        <v>300</v>
      </c>
      <c r="C1200" t="s">
        <v>582</v>
      </c>
      <c r="D1200" t="s">
        <v>81</v>
      </c>
      <c r="E1200" t="s">
        <v>201</v>
      </c>
      <c r="F1200" t="s">
        <v>134</v>
      </c>
      <c r="G1200" t="s">
        <v>4</v>
      </c>
      <c r="H1200">
        <v>8.5</v>
      </c>
      <c r="I1200">
        <v>19</v>
      </c>
      <c r="J1200">
        <v>271</v>
      </c>
      <c r="K1200" t="s">
        <v>102</v>
      </c>
      <c r="L1200" t="s">
        <v>78</v>
      </c>
      <c r="M1200" t="s">
        <v>44</v>
      </c>
      <c r="N1200">
        <v>4.7</v>
      </c>
      <c r="O1200">
        <v>4.8</v>
      </c>
    </row>
    <row r="1201" spans="1:15" x14ac:dyDescent="0.3">
      <c r="A1201" t="s">
        <v>2183</v>
      </c>
      <c r="B1201" t="s">
        <v>136</v>
      </c>
      <c r="C1201" t="s">
        <v>671</v>
      </c>
      <c r="D1201" t="s">
        <v>61</v>
      </c>
      <c r="E1201" t="s">
        <v>62</v>
      </c>
      <c r="F1201" t="s">
        <v>116</v>
      </c>
      <c r="G1201" t="s">
        <v>2</v>
      </c>
      <c r="H1201">
        <v>3.9</v>
      </c>
      <c r="I1201">
        <v>9</v>
      </c>
      <c r="J1201">
        <v>111</v>
      </c>
      <c r="K1201" t="s">
        <v>42</v>
      </c>
      <c r="L1201" t="s">
        <v>64</v>
      </c>
      <c r="M1201" t="s">
        <v>44</v>
      </c>
      <c r="N1201">
        <v>4.7</v>
      </c>
      <c r="O1201">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15"/>
  <sheetViews>
    <sheetView workbookViewId="0">
      <selection activeCell="E15" sqref="E15"/>
    </sheetView>
  </sheetViews>
  <sheetFormatPr defaultRowHeight="14.4" x14ac:dyDescent="0.3"/>
  <cols>
    <col min="1" max="2" width="14.88671875" bestFit="1" customWidth="1"/>
  </cols>
  <sheetData>
    <row r="3" spans="1:6" x14ac:dyDescent="0.3">
      <c r="A3" t="s">
        <v>1</v>
      </c>
    </row>
    <row r="4" spans="1:6" x14ac:dyDescent="0.3">
      <c r="A4" s="17">
        <v>108</v>
      </c>
    </row>
    <row r="9" spans="1:6" x14ac:dyDescent="0.3">
      <c r="F9">
        <f>GETPIVOTDATA("Trip_ID",$A$3)</f>
        <v>108</v>
      </c>
    </row>
    <row r="14" spans="1:6" x14ac:dyDescent="0.3">
      <c r="B14" t="s">
        <v>1</v>
      </c>
    </row>
    <row r="15" spans="1:6" x14ac:dyDescent="0.3">
      <c r="B15" s="17">
        <v>108</v>
      </c>
      <c r="E15">
        <f>GETPIVOTDATA("Trip_ID",$B$14)</f>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K21" sqref="K21"/>
    </sheetView>
  </sheetViews>
  <sheetFormatPr defaultRowHeight="14.4" x14ac:dyDescent="0.3"/>
  <cols>
    <col min="1" max="1" width="12.5546875" bestFit="1" customWidth="1"/>
    <col min="2" max="2" width="23.21875" bestFit="1" customWidth="1"/>
  </cols>
  <sheetData>
    <row r="3" spans="1:2" x14ac:dyDescent="0.3">
      <c r="A3" s="10" t="s">
        <v>0</v>
      </c>
      <c r="B3" t="s">
        <v>10</v>
      </c>
    </row>
    <row r="4" spans="1:2" x14ac:dyDescent="0.3">
      <c r="A4" s="11" t="s">
        <v>192</v>
      </c>
      <c r="B4" s="17">
        <v>928</v>
      </c>
    </row>
    <row r="5" spans="1:2" x14ac:dyDescent="0.3">
      <c r="A5" s="11" t="s">
        <v>102</v>
      </c>
      <c r="B5" s="17">
        <v>3970</v>
      </c>
    </row>
    <row r="6" spans="1:2" x14ac:dyDescent="0.3">
      <c r="A6" s="11" t="s">
        <v>42</v>
      </c>
      <c r="B6" s="17">
        <v>2218</v>
      </c>
    </row>
    <row r="7" spans="1:2" x14ac:dyDescent="0.3">
      <c r="A7" s="11" t="s">
        <v>375</v>
      </c>
      <c r="B7" s="17">
        <v>1400</v>
      </c>
    </row>
    <row r="8" spans="1:2" x14ac:dyDescent="0.3">
      <c r="A8" s="11" t="s">
        <v>56</v>
      </c>
      <c r="B8" s="17">
        <v>1817</v>
      </c>
    </row>
    <row r="9" spans="1:2" x14ac:dyDescent="0.3">
      <c r="A9" s="11" t="s">
        <v>33</v>
      </c>
      <c r="B9" s="17">
        <v>12220</v>
      </c>
    </row>
    <row r="10" spans="1:2" x14ac:dyDescent="0.3">
      <c r="A10" s="11" t="s">
        <v>8</v>
      </c>
      <c r="B10" s="17">
        <v>22553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D10"/>
  <sheetViews>
    <sheetView workbookViewId="0">
      <selection activeCell="F11" sqref="F11"/>
    </sheetView>
  </sheetViews>
  <sheetFormatPr defaultRowHeight="14.4" x14ac:dyDescent="0.3"/>
  <cols>
    <col min="1" max="2" width="12.5546875" bestFit="1" customWidth="1"/>
    <col min="3" max="3" width="14.88671875" bestFit="1" customWidth="1"/>
  </cols>
  <sheetData>
    <row r="5" spans="2:4" x14ac:dyDescent="0.3">
      <c r="B5" s="10" t="s">
        <v>15</v>
      </c>
      <c r="C5" t="s">
        <v>158</v>
      </c>
    </row>
    <row r="7" spans="2:4" x14ac:dyDescent="0.3">
      <c r="B7" s="10" t="s">
        <v>0</v>
      </c>
      <c r="C7" t="s">
        <v>1</v>
      </c>
    </row>
    <row r="8" spans="2:4" x14ac:dyDescent="0.3">
      <c r="B8" s="11" t="s">
        <v>44</v>
      </c>
      <c r="C8" s="12">
        <v>0.87037037037037035</v>
      </c>
      <c r="D8" s="12">
        <f>GETPIVOTDATA("Trip_ID",$B$7,"Shift","Day")</f>
        <v>0.87037037037037035</v>
      </c>
    </row>
    <row r="9" spans="2:4" x14ac:dyDescent="0.3">
      <c r="B9" s="11" t="s">
        <v>35</v>
      </c>
      <c r="C9" s="12">
        <v>0.12962962962962962</v>
      </c>
      <c r="D9" s="12">
        <f>GETPIVOTDATA("Trip_ID",$B$7,"Shift","Night")</f>
        <v>0.12962962962962962</v>
      </c>
    </row>
    <row r="10" spans="2:4" x14ac:dyDescent="0.3">
      <c r="B10" s="11" t="s">
        <v>8</v>
      </c>
      <c r="C10" s="1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N11" sqref="N11"/>
    </sheetView>
  </sheetViews>
  <sheetFormatPr defaultRowHeight="14.4" x14ac:dyDescent="0.3"/>
  <cols>
    <col min="1" max="1" width="12.5546875" bestFit="1" customWidth="1"/>
    <col min="2" max="2" width="14.88671875" bestFit="1" customWidth="1"/>
  </cols>
  <sheetData>
    <row r="1" spans="1:2" x14ac:dyDescent="0.3">
      <c r="A1" s="10" t="s">
        <v>0</v>
      </c>
      <c r="B1" t="s">
        <v>1</v>
      </c>
    </row>
    <row r="2" spans="1:2" x14ac:dyDescent="0.3">
      <c r="A2" s="11" t="s">
        <v>2184</v>
      </c>
      <c r="B2" s="17">
        <v>13</v>
      </c>
    </row>
    <row r="3" spans="1:2" x14ac:dyDescent="0.3">
      <c r="A3" s="11" t="s">
        <v>2185</v>
      </c>
      <c r="B3" s="17">
        <v>41</v>
      </c>
    </row>
    <row r="4" spans="1:2" x14ac:dyDescent="0.3">
      <c r="A4" s="11" t="s">
        <v>2186</v>
      </c>
      <c r="B4" s="17">
        <v>44</v>
      </c>
    </row>
    <row r="5" spans="1:2" x14ac:dyDescent="0.3">
      <c r="A5" s="11" t="s">
        <v>2187</v>
      </c>
      <c r="B5" s="17">
        <v>10</v>
      </c>
    </row>
    <row r="6" spans="1:2" x14ac:dyDescent="0.3">
      <c r="A6" s="11" t="s">
        <v>8</v>
      </c>
      <c r="B6" s="17">
        <v>108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9"/>
  <sheetViews>
    <sheetView workbookViewId="0">
      <selection activeCell="O12" sqref="O12"/>
    </sheetView>
  </sheetViews>
  <sheetFormatPr defaultRowHeight="14.4" x14ac:dyDescent="0.3"/>
  <cols>
    <col min="1" max="1" width="13.77734375" bestFit="1" customWidth="1"/>
    <col min="2" max="2" width="14.88671875" bestFit="1" customWidth="1"/>
  </cols>
  <sheetData>
    <row r="3" spans="1:2" x14ac:dyDescent="0.3">
      <c r="A3" s="10" t="s">
        <v>0</v>
      </c>
      <c r="B3" t="s">
        <v>1</v>
      </c>
    </row>
    <row r="4" spans="1:2" x14ac:dyDescent="0.3">
      <c r="A4" s="11" t="s">
        <v>160</v>
      </c>
      <c r="B4" s="17">
        <v>13</v>
      </c>
    </row>
    <row r="5" spans="1:2" x14ac:dyDescent="0.3">
      <c r="A5" s="11" t="s">
        <v>159</v>
      </c>
      <c r="B5" s="17">
        <v>13</v>
      </c>
    </row>
    <row r="6" spans="1:2" x14ac:dyDescent="0.3">
      <c r="A6" s="11" t="s">
        <v>283</v>
      </c>
      <c r="B6" s="17">
        <v>15</v>
      </c>
    </row>
    <row r="7" spans="1:2" x14ac:dyDescent="0.3">
      <c r="A7" s="11" t="s">
        <v>319</v>
      </c>
      <c r="B7" s="17">
        <v>18</v>
      </c>
    </row>
    <row r="8" spans="1:2" x14ac:dyDescent="0.3">
      <c r="A8" s="11" t="s">
        <v>334</v>
      </c>
      <c r="B8" s="17">
        <v>22</v>
      </c>
    </row>
    <row r="9" spans="1:2" x14ac:dyDescent="0.3">
      <c r="A9" s="11" t="s">
        <v>8</v>
      </c>
      <c r="B9" s="17">
        <v>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5"/>
  <sheetViews>
    <sheetView workbookViewId="0">
      <selection activeCell="B5" sqref="B5"/>
    </sheetView>
  </sheetViews>
  <sheetFormatPr defaultRowHeight="14.4" x14ac:dyDescent="0.3"/>
  <cols>
    <col min="1" max="2" width="26.44140625" bestFit="1" customWidth="1"/>
    <col min="3" max="11" width="12" bestFit="1" customWidth="1"/>
    <col min="12" max="1201" width="12.33203125" bestFit="1" customWidth="1"/>
    <col min="1202" max="1202" width="10.6640625" bestFit="1" customWidth="1"/>
  </cols>
  <sheetData>
    <row r="3" spans="1:2" x14ac:dyDescent="0.3">
      <c r="A3" t="s">
        <v>11</v>
      </c>
    </row>
    <row r="4" spans="1:2" x14ac:dyDescent="0.3">
      <c r="A4" s="17">
        <v>208.82407407407408</v>
      </c>
    </row>
    <row r="5" spans="1:2" x14ac:dyDescent="0.3">
      <c r="B5" s="14">
        <f>GETPIVOTDATA("Fare_Amount_INR",$A$3)</f>
        <v>208.82407407407408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D5"/>
  <sheetViews>
    <sheetView workbookViewId="0">
      <selection activeCell="D5" sqref="D5"/>
    </sheetView>
  </sheetViews>
  <sheetFormatPr defaultRowHeight="14.4" x14ac:dyDescent="0.3"/>
  <cols>
    <col min="1" max="1" width="18.44140625" bestFit="1" customWidth="1"/>
  </cols>
  <sheetData>
    <row r="3" spans="1:4" x14ac:dyDescent="0.3">
      <c r="A3" t="s">
        <v>9</v>
      </c>
    </row>
    <row r="4" spans="1:4" x14ac:dyDescent="0.3">
      <c r="A4" s="17">
        <v>702.1</v>
      </c>
    </row>
    <row r="5" spans="1:4" x14ac:dyDescent="0.3">
      <c r="D5" s="13">
        <f>GETPIVOTDATA("Distance_km",$A$3)</f>
        <v>702.1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C6"/>
  <sheetViews>
    <sheetView workbookViewId="0">
      <selection activeCell="C6" sqref="C6"/>
    </sheetView>
  </sheetViews>
  <sheetFormatPr defaultRowHeight="14.4" x14ac:dyDescent="0.3"/>
  <cols>
    <col min="1" max="1" width="26.77734375" bestFit="1" customWidth="1"/>
  </cols>
  <sheetData>
    <row r="3" spans="1:3" x14ac:dyDescent="0.3">
      <c r="A3" t="s">
        <v>2188</v>
      </c>
    </row>
    <row r="4" spans="1:3" x14ac:dyDescent="0.3">
      <c r="A4" s="17">
        <v>18.768518518518519</v>
      </c>
    </row>
    <row r="6" spans="1:3" x14ac:dyDescent="0.3">
      <c r="C6" s="15">
        <f>GETPIVOTDATA("Trip_Duration_min",$A$3)</f>
        <v>18.768518518518519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D7"/>
  <sheetViews>
    <sheetView workbookViewId="0">
      <selection activeCell="D7" sqref="D7"/>
    </sheetView>
  </sheetViews>
  <sheetFormatPr defaultRowHeight="14.4" x14ac:dyDescent="0.3"/>
  <cols>
    <col min="1" max="1" width="21.6640625" bestFit="1" customWidth="1"/>
    <col min="4" max="4" width="10.5546875" bestFit="1" customWidth="1"/>
  </cols>
  <sheetData>
    <row r="3" spans="1:4" x14ac:dyDescent="0.3">
      <c r="A3" t="s">
        <v>2189</v>
      </c>
    </row>
    <row r="4" spans="1:4" x14ac:dyDescent="0.3">
      <c r="A4" s="17">
        <v>6.5009259259259258</v>
      </c>
    </row>
    <row r="7" spans="1:4" x14ac:dyDescent="0.3">
      <c r="D7" s="13">
        <f>GETPIVOTDATA("Distance_km",$A$3)</f>
        <v>6.5009259259259258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D5"/>
  <sheetViews>
    <sheetView workbookViewId="0">
      <selection activeCell="D5" sqref="D5"/>
    </sheetView>
  </sheetViews>
  <sheetFormatPr defaultRowHeight="14.4" x14ac:dyDescent="0.3"/>
  <cols>
    <col min="1" max="1" width="23.21875" bestFit="1" customWidth="1"/>
    <col min="4" max="4" width="11.88671875" bestFit="1" customWidth="1"/>
  </cols>
  <sheetData>
    <row r="3" spans="1:4" x14ac:dyDescent="0.3">
      <c r="A3" t="s">
        <v>10</v>
      </c>
    </row>
    <row r="4" spans="1:4" x14ac:dyDescent="0.3">
      <c r="A4" s="17">
        <v>22553</v>
      </c>
    </row>
    <row r="5" spans="1:4" x14ac:dyDescent="0.3">
      <c r="D5">
        <f>GETPIVOTDATA("Fare_Amount_INR",$A$3)</f>
        <v>22553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B5"/>
  <sheetViews>
    <sheetView workbookViewId="0">
      <selection activeCell="A3" sqref="A3:B13"/>
    </sheetView>
  </sheetViews>
  <sheetFormatPr defaultRowHeight="14.4" x14ac:dyDescent="0.3"/>
  <cols>
    <col min="1" max="1" width="12.5546875" bestFit="1" customWidth="1"/>
    <col min="2" max="2" width="23.21875" bestFit="1" customWidth="1"/>
  </cols>
  <sheetData>
    <row r="3" spans="1:2" x14ac:dyDescent="0.3">
      <c r="A3" s="10" t="s">
        <v>0</v>
      </c>
      <c r="B3" t="s">
        <v>10</v>
      </c>
    </row>
    <row r="4" spans="1:2" x14ac:dyDescent="0.3">
      <c r="A4" s="11" t="s">
        <v>158</v>
      </c>
      <c r="B4" s="17">
        <v>22553</v>
      </c>
    </row>
    <row r="5" spans="1:2" x14ac:dyDescent="0.3">
      <c r="A5" s="11" t="s">
        <v>8</v>
      </c>
      <c r="B5" s="17">
        <v>22553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B12"/>
  <sheetViews>
    <sheetView workbookViewId="0">
      <selection activeCell="S3" sqref="S3"/>
    </sheetView>
  </sheetViews>
  <sheetFormatPr defaultRowHeight="14.4" x14ac:dyDescent="0.3"/>
  <cols>
    <col min="1" max="1" width="12.5546875" bestFit="1" customWidth="1"/>
    <col min="2" max="2" width="14.88671875" bestFit="1" customWidth="1"/>
  </cols>
  <sheetData>
    <row r="3" spans="1:2" x14ac:dyDescent="0.3">
      <c r="A3" s="10" t="s">
        <v>0</v>
      </c>
      <c r="B3" t="s">
        <v>1</v>
      </c>
    </row>
    <row r="4" spans="1:2" x14ac:dyDescent="0.3">
      <c r="A4" s="11" t="s">
        <v>161</v>
      </c>
      <c r="B4" s="17">
        <v>3</v>
      </c>
    </row>
    <row r="5" spans="1:2" x14ac:dyDescent="0.3">
      <c r="A5" s="11" t="s">
        <v>57</v>
      </c>
      <c r="B5" s="17">
        <v>6</v>
      </c>
    </row>
    <row r="6" spans="1:2" x14ac:dyDescent="0.3">
      <c r="A6" s="11" t="s">
        <v>64</v>
      </c>
      <c r="B6" s="17">
        <v>22</v>
      </c>
    </row>
    <row r="7" spans="1:2" x14ac:dyDescent="0.3">
      <c r="A7" s="11" t="s">
        <v>43</v>
      </c>
      <c r="B7" s="17">
        <v>15</v>
      </c>
    </row>
    <row r="8" spans="1:2" x14ac:dyDescent="0.3">
      <c r="A8" s="11" t="s">
        <v>49</v>
      </c>
      <c r="B8" s="17">
        <v>11</v>
      </c>
    </row>
    <row r="9" spans="1:2" x14ac:dyDescent="0.3">
      <c r="A9" s="11" t="s">
        <v>78</v>
      </c>
      <c r="B9" s="17">
        <v>17</v>
      </c>
    </row>
    <row r="10" spans="1:2" x14ac:dyDescent="0.3">
      <c r="A10" s="11" t="s">
        <v>71</v>
      </c>
      <c r="B10" s="17">
        <v>29</v>
      </c>
    </row>
    <row r="11" spans="1:2" x14ac:dyDescent="0.3">
      <c r="A11" s="11" t="s">
        <v>34</v>
      </c>
      <c r="B11" s="17">
        <v>5</v>
      </c>
    </row>
    <row r="12" spans="1:2" x14ac:dyDescent="0.3">
      <c r="A12" s="11" t="s">
        <v>8</v>
      </c>
      <c r="B12" s="17">
        <v>108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Vehicle Analysis</vt:lpstr>
      <vt:lpstr>Dashboard Final</vt:lpstr>
      <vt:lpstr>Data</vt:lpstr>
      <vt:lpstr>total booking</vt:lpstr>
      <vt:lpstr>Payment Type Analysis</vt:lpstr>
      <vt:lpstr>Shift Analysis</vt:lpstr>
      <vt:lpstr>total trip by months</vt:lpstr>
      <vt:lpstr>top 5 pickup</vt:lpstr>
      <vt:lpstr>Avg Booking price</vt:lpstr>
      <vt:lpstr>Total Trip Distance</vt:lpstr>
      <vt:lpstr>avg trip time</vt:lpstr>
      <vt:lpstr>Average Trip Dist.</vt:lpstr>
      <vt:lpstr>total booking value</vt:lpstr>
      <vt:lpstr>top 5 city slicer ka</vt:lpstr>
      <vt:lpstr>total trip by time bin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faith;Dishu goyal</dc:creator>
  <cp:keywords/>
  <dc:description/>
  <cp:lastModifiedBy>Dishu goyal</cp:lastModifiedBy>
  <cp:revision/>
  <dcterms:created xsi:type="dcterms:W3CDTF">2025-08-16T06:50:08Z</dcterms:created>
  <dcterms:modified xsi:type="dcterms:W3CDTF">2026-04-13T16:36:16Z</dcterms:modified>
  <cp:category/>
  <cp:contentStatus/>
</cp:coreProperties>
</file>